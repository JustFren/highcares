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  <sheet state="visible" name="Arkusz2" sheetId="2" r:id="rId5"/>
  </sheets>
  <definedNames/>
  <calcPr/>
</workbook>
</file>

<file path=xl/sharedStrings.xml><?xml version="1.0" encoding="utf-8"?>
<sst xmlns="http://schemas.openxmlformats.org/spreadsheetml/2006/main" count="742" uniqueCount="469">
  <si>
    <t>id</t>
  </si>
  <si>
    <t>nazwa</t>
  </si>
  <si>
    <t>x</t>
  </si>
  <si>
    <t>y</t>
  </si>
  <si>
    <t>h</t>
  </si>
  <si>
    <t>borowice na stoku</t>
  </si>
  <si>
    <t>50.793628</t>
  </si>
  <si>
    <t>15.690429</t>
  </si>
  <si>
    <t>411.511570215225</t>
  </si>
  <si>
    <t>przesieka złoty widok</t>
  </si>
  <si>
    <t>50.806877</t>
  </si>
  <si>
    <t>15.665909</t>
  </si>
  <si>
    <t>386.806339025497</t>
  </si>
  <si>
    <t>schronisko odrodzenie</t>
  </si>
  <si>
    <t>50.762794</t>
  </si>
  <si>
    <t>15.634104</t>
  </si>
  <si>
    <t>1689.57400321960</t>
  </si>
  <si>
    <t>słonecznik</t>
  </si>
  <si>
    <t>50.759527</t>
  </si>
  <si>
    <t>15.683350</t>
  </si>
  <si>
    <t>1838.09077739716</t>
  </si>
  <si>
    <t>pielgrzymy</t>
  </si>
  <si>
    <t>50.767829</t>
  </si>
  <si>
    <t>15.694960</t>
  </si>
  <si>
    <t>1531.29160404205</t>
  </si>
  <si>
    <t>polana karkonosze</t>
  </si>
  <si>
    <t>50.764959</t>
  </si>
  <si>
    <t>15.704560</t>
  </si>
  <si>
    <t>518.756866455078</t>
  </si>
  <si>
    <t>"biały jar"</t>
  </si>
  <si>
    <t>50.773776</t>
  </si>
  <si>
    <t>15.738867</t>
  </si>
  <si>
    <t>436.091691255569</t>
  </si>
  <si>
    <t>wilcza poręba</t>
  </si>
  <si>
    <t>50.766156</t>
  </si>
  <si>
    <t>15.761610</t>
  </si>
  <si>
    <t>432.133466005325</t>
  </si>
  <si>
    <t>szeroki most</t>
  </si>
  <si>
    <t>50.760024</t>
  </si>
  <si>
    <t>15.768539</t>
  </si>
  <si>
    <t>439.006805419922</t>
  </si>
  <si>
    <t>budniki</t>
  </si>
  <si>
    <t>50.763740</t>
  </si>
  <si>
    <t>15.804069</t>
  </si>
  <si>
    <t>454.497873783112</t>
  </si>
  <si>
    <t>jedlinki</t>
  </si>
  <si>
    <t>50.780285</t>
  </si>
  <si>
    <t>15.811050</t>
  </si>
  <si>
    <t>399.508744478226</t>
  </si>
  <si>
    <t>przełęcz okraj</t>
  </si>
  <si>
    <t>50.747094</t>
  </si>
  <si>
    <t>15.823404</t>
  </si>
  <si>
    <t>478.819102048874</t>
  </si>
  <si>
    <t>skalny stół</t>
  </si>
  <si>
    <t>50.752752</t>
  </si>
  <si>
    <t>15.792216</t>
  </si>
  <si>
    <t>1777.42516994476</t>
  </si>
  <si>
    <t>sowia przełęcz</t>
  </si>
  <si>
    <t>50.745689</t>
  </si>
  <si>
    <t>15.786504</t>
  </si>
  <si>
    <t>1358.71100425720</t>
  </si>
  <si>
    <t>śnieżka</t>
  </si>
  <si>
    <t>50.736145</t>
  </si>
  <si>
    <t>15.740154</t>
  </si>
  <si>
    <t>1912.33980655670</t>
  </si>
  <si>
    <t>przełęcz pod śnieżką</t>
  </si>
  <si>
    <t>50.740394</t>
  </si>
  <si>
    <t>15.724483</t>
  </si>
  <si>
    <t>1823.18592071533</t>
  </si>
  <si>
    <t>spalona strażnica</t>
  </si>
  <si>
    <t>50.741154</t>
  </si>
  <si>
    <t>15.706442</t>
  </si>
  <si>
    <t>1843.70470046997</t>
  </si>
  <si>
    <t>samotnia</t>
  </si>
  <si>
    <t>50.748973</t>
  </si>
  <si>
    <t>15.702403</t>
  </si>
  <si>
    <t>1684.56006050110</t>
  </si>
  <si>
    <t>strzecha akademicka</t>
  </si>
  <si>
    <t>kopa</t>
  </si>
  <si>
    <t>50.746676</t>
  </si>
  <si>
    <t>15.727034</t>
  </si>
  <si>
    <t>1816.44594669342</t>
  </si>
  <si>
    <t>karpacz</t>
  </si>
  <si>
    <t>50.783028</t>
  </si>
  <si>
    <t>15.761844</t>
  </si>
  <si>
    <t>356.194168329239</t>
  </si>
  <si>
    <t>nad łomniczką</t>
  </si>
  <si>
    <t>50.748270</t>
  </si>
  <si>
    <t>15.743715</t>
  </si>
  <si>
    <t>474.014520645142</t>
  </si>
  <si>
    <t>biały jar</t>
  </si>
  <si>
    <t>50.749142</t>
  </si>
  <si>
    <t>15.714721</t>
  </si>
  <si>
    <t>1751.90258026123</t>
  </si>
  <si>
    <t>zarzecze</t>
  </si>
  <si>
    <t>50.781567</t>
  </si>
  <si>
    <t>15.748579</t>
  </si>
  <si>
    <t>414.276421070099</t>
  </si>
  <si>
    <t>karpacz dolny</t>
  </si>
  <si>
    <t>50.774487</t>
  </si>
  <si>
    <t>15.760419</t>
  </si>
  <si>
    <t>386.765986680985</t>
  </si>
  <si>
    <t>karpacz górny</t>
  </si>
  <si>
    <t>50.773737</t>
  </si>
  <si>
    <t>15.734487</t>
  </si>
  <si>
    <t>442.309617996216</t>
  </si>
  <si>
    <t>sosnówka (kropka bez nazwy)</t>
  </si>
  <si>
    <t>50.801246</t>
  </si>
  <si>
    <t>15.729980</t>
  </si>
  <si>
    <t>435.077011585236</t>
  </si>
  <si>
    <t>grabowiec</t>
  </si>
  <si>
    <t>50.804691</t>
  </si>
  <si>
    <t>15.740279</t>
  </si>
  <si>
    <t>428.756326436996</t>
  </si>
  <si>
    <t xml:space="preserve">biały jar </t>
  </si>
  <si>
    <t xml:space="preserve">sosnówka </t>
  </si>
  <si>
    <t xml:space="preserve">przesieka"złoty widok" </t>
  </si>
  <si>
    <t xml:space="preserve">Polana </t>
  </si>
  <si>
    <t xml:space="preserve">przesieka"złoty widok " </t>
  </si>
  <si>
    <t xml:space="preserve">Borowice </t>
  </si>
  <si>
    <t xml:space="preserve">pod śnieżka </t>
  </si>
  <si>
    <t xml:space="preserve">strzecha Akademicka </t>
  </si>
  <si>
    <t xml:space="preserve">odrodzenie </t>
  </si>
  <si>
    <t xml:space="preserve">słonecznik </t>
  </si>
  <si>
    <t xml:space="preserve">pielgrzymy </t>
  </si>
  <si>
    <t xml:space="preserve">Karpacz gorny </t>
  </si>
  <si>
    <t>czas tam  [min]</t>
  </si>
  <si>
    <t>czas powrót [min]</t>
  </si>
  <si>
    <t>50.744664, 15.724790</t>
  </si>
  <si>
    <t>50.768821, 15.732605</t>
  </si>
  <si>
    <t>50.749737, 15.718913</t>
  </si>
  <si>
    <t>50.749803, 15.713391</t>
  </si>
  <si>
    <t>50.772675, 15.732523</t>
  </si>
  <si>
    <t>50.795902, 15.724537</t>
  </si>
  <si>
    <t>50.802795, 15.667724</t>
  </si>
  <si>
    <t>50.765459, 15.677530</t>
  </si>
  <si>
    <t>50.766351, 15.690456</t>
  </si>
  <si>
    <t>50.763068, 15.699132</t>
  </si>
  <si>
    <t>50.767084, 15.703202</t>
  </si>
  <si>
    <t>50.801110, 15.670456</t>
  </si>
  <si>
    <t>50.787437, 15.697753</t>
  </si>
  <si>
    <t>50.788482, 15.697310</t>
  </si>
  <si>
    <t>50.742274, 15.724361</t>
  </si>
  <si>
    <t>50.759106, 15.723760</t>
  </si>
  <si>
    <t>50.749818, 15.721231</t>
  </si>
  <si>
    <t>50.751446, 15.711911</t>
  </si>
  <si>
    <t>50.769745, 15.726341</t>
  </si>
  <si>
    <t>50.794329, 15.713031</t>
  </si>
  <si>
    <t>50.799540, 15.672180</t>
  </si>
  <si>
    <t>50.767088, 15.666368</t>
  </si>
  <si>
    <t>50.765347, 15.688137</t>
  </si>
  <si>
    <t>50.762362, 15.695354</t>
  </si>
  <si>
    <t>50.768061, 15.699381</t>
  </si>
  <si>
    <t>50.798073, 15.674063</t>
  </si>
  <si>
    <t>50.784399, 15.700672</t>
  </si>
  <si>
    <t>50.785700, 15.704361</t>
  </si>
  <si>
    <t>50.741351, 15.724361</t>
  </si>
  <si>
    <t>50.753080, 15.718866</t>
  </si>
  <si>
    <t>50.748352, 15.726125</t>
  </si>
  <si>
    <t>50.751460, 15.709807</t>
  </si>
  <si>
    <t>50.766489, 15.712431</t>
  </si>
  <si>
    <t>50.795251, 15.699465</t>
  </si>
  <si>
    <t>50.794224, 15.681969</t>
  </si>
  <si>
    <t>50.763614, 15.651084</t>
  </si>
  <si>
    <t>50.762768, 15.685862</t>
  </si>
  <si>
    <t>50.761765, 15.686338</t>
  </si>
  <si>
    <t>50.767654, 15.696076</t>
  </si>
  <si>
    <t>50.794113, 15.681362</t>
  </si>
  <si>
    <t>50.771102, 15.712691</t>
  </si>
  <si>
    <t>50.784181, 15.718099</t>
  </si>
  <si>
    <t>kolejka</t>
  </si>
  <si>
    <t>Grabowiec</t>
  </si>
  <si>
    <t>Zarzecze</t>
  </si>
  <si>
    <t>idv</t>
  </si>
  <si>
    <t>id1</t>
  </si>
  <si>
    <t>id2</t>
  </si>
  <si>
    <t>wchodzenie</t>
  </si>
  <si>
    <t>schodzenie</t>
  </si>
  <si>
    <t>pkt_pomiedzy</t>
  </si>
  <si>
    <t>50.797917, 15.731305</t>
  </si>
  <si>
    <t>50.793949, 15.734660</t>
  </si>
  <si>
    <t>50.785649, 15.738438</t>
  </si>
  <si>
    <t>50.778618, 15.746573</t>
  </si>
  <si>
    <t>50.777370, 15.746221</t>
  </si>
  <si>
    <t>50.775418, 15.741521</t>
  </si>
  <si>
    <t>50.768669, 15.739117</t>
  </si>
  <si>
    <t>50.762308, 15.741700</t>
  </si>
  <si>
    <t>50.755577, 15.749170</t>
  </si>
  <si>
    <t>50.746288, 15.737583</t>
  </si>
  <si>
    <t>50.742432, 15.732431</t>
  </si>
  <si>
    <t>50.740531, 15.729598</t>
  </si>
  <si>
    <t>50.738043, 15.731390</t>
  </si>
  <si>
    <t>50.736756, 15.734357</t>
  </si>
  <si>
    <t>50.736511, 15.738993</t>
  </si>
  <si>
    <t>50.781955, 15.753153</t>
  </si>
  <si>
    <t>50.778320, 15.754656</t>
  </si>
  <si>
    <t>50.776258, 15.758176</t>
  </si>
  <si>
    <t>50.781034, 15.762725</t>
  </si>
  <si>
    <t>50.778538, 15.761995</t>
  </si>
  <si>
    <t>50.775417, 15.760579</t>
  </si>
  <si>
    <t>50.773651, 15.760020</t>
  </si>
  <si>
    <t>50.770395, 15.761136</t>
  </si>
  <si>
    <t>50.768089, 15.762081</t>
  </si>
  <si>
    <t>50.761931, 15.761700</t>
  </si>
  <si>
    <t>50.756611, 15.757750</t>
  </si>
  <si>
    <t>50.751454, 15.749335</t>
  </si>
  <si>
    <t>50.800082, 15.653304</t>
  </si>
  <si>
    <t>50.787389, 15.649183</t>
  </si>
  <si>
    <t>50.772304, 15.638879</t>
  </si>
  <si>
    <t>50.761557, 15.650026</t>
  </si>
  <si>
    <t>50.760580, 15.660501</t>
  </si>
  <si>
    <t>50.758408, 15.672350</t>
  </si>
  <si>
    <t>50.755686, 15.691581</t>
  </si>
  <si>
    <t>50.752971, 15.694500</t>
  </si>
  <si>
    <t>50.742872, 15.697935</t>
  </si>
  <si>
    <t>50.776854, 15.720675</t>
  </si>
  <si>
    <t>50.773001, 15.714836</t>
  </si>
  <si>
    <t>50.767140, 15.708911</t>
  </si>
  <si>
    <t>50.760841, 15.704449</t>
  </si>
  <si>
    <t>50.756335, 15.702560</t>
  </si>
  <si>
    <t>50.751395, 15.699898</t>
  </si>
  <si>
    <t>50.748704, 15.703756</t>
  </si>
  <si>
    <t>50.748731, 15.705301</t>
  </si>
  <si>
    <t>50.750184, 15.707083</t>
  </si>
  <si>
    <t>50.741730, 15.710714</t>
  </si>
  <si>
    <t>50.741404, 15.716810</t>
  </si>
  <si>
    <t>50.740100, 15.725482</t>
  </si>
  <si>
    <t>50.742655, 15.773633</t>
  </si>
  <si>
    <t>50.743741, 15.761098</t>
  </si>
  <si>
    <t>50.739722, 15.745814</t>
  </si>
  <si>
    <t>50.748953, 15.813629</t>
  </si>
  <si>
    <t>50.749388, 15.805386</t>
  </si>
  <si>
    <t>50.748193, 15.792679</t>
  </si>
  <si>
    <t>50.752860, 15.796884</t>
  </si>
  <si>
    <t>50.754380, 15.807703</t>
  </si>
  <si>
    <t>50.749548, 15.820063</t>
  </si>
  <si>
    <t>50.760053, 15.800491</t>
  </si>
  <si>
    <t>50.756932, 15.799890</t>
  </si>
  <si>
    <t>50.754896, 15.796713</t>
  </si>
  <si>
    <t>50.777670, 15.807531</t>
  </si>
  <si>
    <t>50.774359, 15.802465</t>
  </si>
  <si>
    <t>50.767467, 15.801263</t>
  </si>
  <si>
    <t>50.784022, 15.793536</t>
  </si>
  <si>
    <t>50.776209, 15.783404</t>
  </si>
  <si>
    <t>50.771650, 15.763828</t>
  </si>
  <si>
    <t>50.778103, 15.761010</t>
  </si>
  <si>
    <t>50.773816, 15.760237</t>
  </si>
  <si>
    <t>50.767629, 15.768995</t>
  </si>
  <si>
    <t>50.755575, 15.771739</t>
  </si>
  <si>
    <t>50.752366, 15.779554</t>
  </si>
  <si>
    <t>50.747540, 15.784788</t>
  </si>
  <si>
    <t>50.777044, 15.726545</t>
  </si>
  <si>
    <t>50.774739, 15.729596</t>
  </si>
  <si>
    <t>50.774359, 15.736723</t>
  </si>
  <si>
    <r>
      <t>50.781631, 15.738949</t>
    </r>
  </si>
  <si>
    <t>50.780003, 15.731827</t>
  </si>
  <si>
    <t>50.779081, 15.726332</t>
  </si>
  <si>
    <t>50.765730, 15.753122</t>
  </si>
  <si>
    <t>50.769367, 15.749258</t>
  </si>
  <si>
    <t>50.771972, 15.744536</t>
  </si>
  <si>
    <t>50.761520, 15.766546</t>
  </si>
  <si>
    <t>50.761764, 15.764528</t>
  </si>
  <si>
    <t>50.764343, 15.761823</t>
  </si>
  <si>
    <t>50.763614, 15.772962</t>
  </si>
  <si>
    <t>50.766219, 15.788588</t>
  </si>
  <si>
    <t>50.763179, 15.796144</t>
  </si>
  <si>
    <t>50.763719, 15.809848</t>
  </si>
  <si>
    <t>50.759482, 15.818688</t>
  </si>
  <si>
    <t>50.753782, 15.824269</t>
  </si>
  <si>
    <t>50.748487, 15.709681</t>
  </si>
  <si>
    <t>50.746315, 15.706762</t>
  </si>
  <si>
    <t>50.743681, 15.705087</t>
  </si>
  <si>
    <t>50.776745, 15.760707</t>
  </si>
  <si>
    <t>50.778509, 15.761824</t>
  </si>
  <si>
    <t>50.782063, 15.762124</t>
  </si>
  <si>
    <t>idp1</t>
  </si>
  <si>
    <t>idp2</t>
  </si>
  <si>
    <t>idp3</t>
  </si>
  <si>
    <t>50.749548</t>
  </si>
  <si>
    <t>15.820063</t>
  </si>
  <si>
    <r>
      <t>50.754380, 15.807703</t>
    </r>
  </si>
  <si>
    <r>
      <t>50.781631, 15.738949</t>
    </r>
  </si>
  <si>
    <t>connection 1</t>
  </si>
  <si>
    <t>connection 2</t>
  </si>
  <si>
    <t>connection 3</t>
  </si>
  <si>
    <t>node</t>
  </si>
  <si>
    <t>abs</t>
  </si>
  <si>
    <t>438.038825988770</t>
  </si>
  <si>
    <t>442.586302757263</t>
  </si>
  <si>
    <t>437.570184469223</t>
  </si>
  <si>
    <t>42.1398580074310</t>
  </si>
  <si>
    <t>438.477933406830</t>
  </si>
  <si>
    <t>433.112770318985</t>
  </si>
  <si>
    <t>436.633795499802</t>
  </si>
  <si>
    <t>33.6298048496246</t>
  </si>
  <si>
    <t>445.524185895920</t>
  </si>
  <si>
    <t>458.865046501160</t>
  </si>
  <si>
    <t>466.839879751205</t>
  </si>
  <si>
    <t>37.9228293895721</t>
  </si>
  <si>
    <t>519.145369529724</t>
  </si>
  <si>
    <t>1294.18110847473</t>
  </si>
  <si>
    <t>1808.08937549591</t>
  </si>
  <si>
    <t>1349.17140007019</t>
  </si>
  <si>
    <t>1834.46872234344</t>
  </si>
  <si>
    <t>1851.74822807312</t>
  </si>
  <si>
    <t>1908.76579284668</t>
  </si>
  <si>
    <t>89.1538858413696</t>
  </si>
  <si>
    <t>393.383145332336</t>
  </si>
  <si>
    <t>399.914979934692</t>
  </si>
  <si>
    <t>387.273877859116</t>
  </si>
  <si>
    <t>40.5741035938263</t>
  </si>
  <si>
    <t>366.167902946472</t>
  </si>
  <si>
    <t>377.142339944840</t>
  </si>
  <si>
    <t>389.839857816696</t>
  </si>
  <si>
    <t>77.9157280921936</t>
  </si>
  <si>
    <t>384.153127670288</t>
  </si>
  <si>
    <t>412.299156188965</t>
  </si>
  <si>
    <t>422.508627176285</t>
  </si>
  <si>
    <t>75.9392976760864</t>
  </si>
  <si>
    <t>440.414369106293</t>
  </si>
  <si>
    <t>447.586715221405</t>
  </si>
  <si>
    <t>464.246809482574</t>
  </si>
  <si>
    <t>35.0077152252197</t>
  </si>
  <si>
    <t>433.093994855881</t>
  </si>
  <si>
    <t>457.699567079544</t>
  </si>
  <si>
    <t>490.125298500061</t>
  </si>
  <si>
    <t>1302.76766419411</t>
  </si>
  <si>
    <t>1802.22535133362</t>
  </si>
  <si>
    <t>1818.56977939606</t>
  </si>
  <si>
    <t>1842.76807308197</t>
  </si>
  <si>
    <t>157.871365547180</t>
  </si>
  <si>
    <t>1831.75671100616</t>
  </si>
  <si>
    <t>1826.38812065125</t>
  </si>
  <si>
    <t>1829.85377311707</t>
  </si>
  <si>
    <t>29.0192365646362</t>
  </si>
  <si>
    <t>461.926311254501</t>
  </si>
  <si>
    <t>469.966679811478</t>
  </si>
  <si>
    <t>490.150630474091</t>
  </si>
  <si>
    <t>76.4472484588623</t>
  </si>
  <si>
    <t>530.139088630676</t>
  </si>
  <si>
    <t>606.193959712982</t>
  </si>
  <si>
    <t>1399.35600757599</t>
  </si>
  <si>
    <t>1165.80319404602</t>
  </si>
  <si>
    <t>1715.54207801819</t>
  </si>
  <si>
    <t>1762.19403743744</t>
  </si>
  <si>
    <t>1763.66400718689</t>
  </si>
  <si>
    <t>158.207893371582</t>
  </si>
  <si>
    <t>1846.77219390869</t>
  </si>
  <si>
    <t>1843.45114231110</t>
  </si>
  <si>
    <t>1826.38847827911</t>
  </si>
  <si>
    <t>26.6537666320801</t>
  </si>
  <si>
    <t>1799.85833168030</t>
  </si>
  <si>
    <t>1816.68925285339</t>
  </si>
  <si>
    <t>1843.66953372955</t>
  </si>
  <si>
    <t>553.628802299500</t>
  </si>
  <si>
    <t>752.976655960083</t>
  </si>
  <si>
    <t>1680.41777610779</t>
  </si>
  <si>
    <t>1696.00057601929</t>
  </si>
  <si>
    <t>1554.47104573250</t>
  </si>
  <si>
    <t>565.364122390747</t>
  </si>
  <si>
    <t>1766.51704311371</t>
  </si>
  <si>
    <t>1773.73099327087</t>
  </si>
  <si>
    <t>3715.33980965614</t>
  </si>
  <si>
    <t>469.717204570770</t>
  </si>
  <si>
    <t>544.233381748200</t>
  </si>
  <si>
    <t>1659.53254699707</t>
  </si>
  <si>
    <t>1322.92729616165</t>
  </si>
  <si>
    <t>431.794345378876</t>
  </si>
  <si>
    <t>435.885757207871</t>
  </si>
  <si>
    <t>445.186287164688</t>
  </si>
  <si>
    <t>54.9891293048859</t>
  </si>
  <si>
    <t>352.536231279373</t>
  </si>
  <si>
    <t>394.534021615982</t>
  </si>
  <si>
    <t>388.889491558075</t>
  </si>
  <si>
    <t>127.310156822205</t>
  </si>
  <si>
    <t>381.666243076324</t>
  </si>
  <si>
    <t>419.715702533722</t>
  </si>
  <si>
    <t>82.8126370906830</t>
  </si>
  <si>
    <t>448.136389255524</t>
  </si>
  <si>
    <t>459.676951169968</t>
  </si>
  <si>
    <t>590.212762355804</t>
  </si>
  <si>
    <t>919.704198837280</t>
  </si>
  <si>
    <t>451.230257749558</t>
  </si>
  <si>
    <t>444.253385066986</t>
  </si>
  <si>
    <t>439.259707927704</t>
  </si>
  <si>
    <t>24.0592062473297</t>
  </si>
  <si>
    <t>437.158197164536</t>
  </si>
  <si>
    <t>445.256859064102</t>
  </si>
  <si>
    <t>451.520949602127</t>
  </si>
  <si>
    <t>46.4558601379395</t>
  </si>
  <si>
    <t>435.681283473969</t>
  </si>
  <si>
    <t>435.855746269226</t>
  </si>
  <si>
    <t>435.509353876114</t>
  </si>
  <si>
    <t>4.65101003646851</t>
  </si>
  <si>
    <t>438.378989696503</t>
  </si>
  <si>
    <t>438.102751970291</t>
  </si>
  <si>
    <t>434.860646724701</t>
  </si>
  <si>
    <t>6.87333941459656</t>
  </si>
  <si>
    <t>444.879412651062</t>
  </si>
  <si>
    <t>450.554460287094</t>
  </si>
  <si>
    <t>459.948152303696</t>
  </si>
  <si>
    <t>26.3916254043579</t>
  </si>
  <si>
    <t>470.043033361435</t>
  </si>
  <si>
    <t>532.995045185089</t>
  </si>
  <si>
    <t>553.518652915955</t>
  </si>
  <si>
    <t>173.720329999924</t>
  </si>
  <si>
    <t>1797.09422588348</t>
  </si>
  <si>
    <t>1805.90450763702</t>
  </si>
  <si>
    <t>1830.19173145294</t>
  </si>
  <si>
    <t>159.144639968872</t>
  </si>
  <si>
    <t>387.015908956528</t>
  </si>
  <si>
    <t>362.900555133820</t>
  </si>
  <si>
    <t>31.0716629028320</t>
  </si>
  <si>
    <t>1814.31818008423</t>
  </si>
  <si>
    <t>1813.18867206573</t>
  </si>
  <si>
    <t>1818.50349903107</t>
  </si>
  <si>
    <t>13.2545232772827</t>
  </si>
  <si>
    <t>447.618186473846</t>
  </si>
  <si>
    <t>466.832011938095</t>
  </si>
  <si>
    <t>547.178685665131</t>
  </si>
  <si>
    <t>1315.81088900566</t>
  </si>
  <si>
    <t>1777.80926227570</t>
  </si>
  <si>
    <t>1789.87193107605</t>
  </si>
  <si>
    <t>1801.41448974609</t>
  </si>
  <si>
    <t>64.5433664321899</t>
  </si>
  <si>
    <t>1758.59534740448</t>
  </si>
  <si>
    <t>1760.94233989716</t>
  </si>
  <si>
    <t>1761.57689094543</t>
  </si>
  <si>
    <t>86.6911411285400</t>
  </si>
  <si>
    <t>445.917516946793</t>
  </si>
  <si>
    <t>453.211009502411</t>
  </si>
  <si>
    <t>472.193688154221</t>
  </si>
  <si>
    <t>1378.82441282272</t>
  </si>
  <si>
    <t>437.761992216110</t>
  </si>
  <si>
    <t>436.517536640167</t>
  </si>
  <si>
    <t>428.817003965378</t>
  </si>
  <si>
    <t>28.9354026317596</t>
  </si>
  <si>
    <t>392.134487628937</t>
  </si>
  <si>
    <t>400.397181510925</t>
  </si>
  <si>
    <t>413.513898849487</t>
  </si>
  <si>
    <t>28.7098884582520</t>
  </si>
  <si>
    <t>1761.00790500641</t>
  </si>
  <si>
    <t>1249.49121475220</t>
  </si>
  <si>
    <t>1757.37977027893</t>
  </si>
  <si>
    <t>1316.92731380463</t>
  </si>
  <si>
    <t>1740.30768871307</t>
  </si>
  <si>
    <t>1769.51849460602</t>
  </si>
  <si>
    <t>1797.38008975983</t>
  </si>
  <si>
    <t>306.799173355103</t>
  </si>
  <si>
    <t>853.498399257660</t>
  </si>
  <si>
    <t>1637.03584671021</t>
  </si>
  <si>
    <t>1806.55360221863</t>
  </si>
  <si>
    <t>1319.33391094208</t>
  </si>
  <si>
    <t>521.373629570007</t>
  </si>
  <si>
    <t>578.111529350281</t>
  </si>
  <si>
    <t>1256.27422332764</t>
  </si>
  <si>
    <t>1012.53473758698</t>
  </si>
  <si>
    <t>409.886449575424</t>
  </si>
  <si>
    <t>408.061772584915</t>
  </si>
  <si>
    <t>418.214887380600</t>
  </si>
  <si>
    <t>41.7612195014954</t>
  </si>
  <si>
    <t>434.002608060837</t>
  </si>
  <si>
    <t>444.636464118958</t>
  </si>
  <si>
    <t>474.885106086731</t>
  </si>
  <si>
    <t>107.245296239853</t>
  </si>
  <si>
    <t>430.211901664734</t>
  </si>
  <si>
    <t>444.537788629532</t>
  </si>
  <si>
    <t>453.548729419708</t>
  </si>
  <si>
    <t>53.2762706279755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</si>
</sst>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0.0"/>
      <color rgb="FF000000"/>
      <name val="Calibri"/>
    </font>
    <font>
      <sz val="11.0"/>
      <color rgb="FF212121"/>
      <name val="Roboto"/>
    </font>
    <font>
      <color rgb="FFFF9900"/>
      <name val="Arial"/>
      <scheme val="minor"/>
    </font>
    <font>
      <color rgb="FF00FF00"/>
      <name val="Arial"/>
      <scheme val="minor"/>
    </font>
    <font>
      <color rgb="FF0000FF"/>
      <name val="Arial"/>
      <scheme val="minor"/>
    </font>
    <font>
      <sz val="9.0"/>
      <color rgb="FFBDBDBD"/>
      <name val="Roboto"/>
    </font>
    <font>
      <color rgb="FFFF0000"/>
      <name val="Arial"/>
      <scheme val="minor"/>
    </font>
    <font>
      <u/>
      <sz val="9.0"/>
      <color rgb="FFBDBDBD"/>
      <name val="Roboto"/>
    </font>
    <font>
      <sz val="11.0"/>
      <color theme="1"/>
      <name val="Arial"/>
      <scheme val="minor"/>
    </font>
    <font>
      <sz val="11.0"/>
      <color rgb="FF0000F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2" fontId="4" numFmtId="0" xfId="0" applyAlignment="1" applyFill="1" applyFont="1">
      <alignment readingOrder="0"/>
    </xf>
    <xf borderId="0" fillId="2" fontId="3" numFmtId="0" xfId="0" applyAlignment="1" applyFont="1">
      <alignment horizontal="left" readingOrder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8" numFmtId="0" xfId="0" applyAlignment="1" applyFont="1">
      <alignment horizontal="left" readingOrder="0"/>
    </xf>
    <xf borderId="0" fillId="0" fontId="7" numFmtId="0" xfId="0" applyFont="1"/>
    <xf borderId="0" fillId="0" fontId="9" numFmtId="0" xfId="0" applyAlignment="1" applyFont="1">
      <alignment readingOrder="0"/>
    </xf>
    <xf borderId="0" fillId="2" fontId="10" numFmtId="0" xfId="0" applyAlignment="1" applyFont="1">
      <alignment horizontal="left"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mapa-turystyczna.pl/trail/1942" TargetMode="External"/><Relationship Id="rId2" Type="http://schemas.openxmlformats.org/officeDocument/2006/relationships/hyperlink" Target="https://mapa-turystyczna.pl/trail/1887" TargetMode="External"/><Relationship Id="rId3" Type="http://schemas.openxmlformats.org/officeDocument/2006/relationships/hyperlink" Target="https://mapa-turystyczna.pl/trail/1942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0.0"/>
    <col customWidth="1" min="4" max="4" width="23.38"/>
    <col customWidth="1" min="5" max="5" width="19.25"/>
    <col customWidth="1" min="6" max="6" width="17.88"/>
    <col customWidth="1" min="9" max="9" width="31.25"/>
    <col customWidth="1" min="10" max="10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>
      <c r="A2" s="1">
        <v>1.0</v>
      </c>
      <c r="B2" s="2" t="s">
        <v>5</v>
      </c>
      <c r="C2" s="3" t="s">
        <v>6</v>
      </c>
      <c r="D2" s="3" t="s">
        <v>7</v>
      </c>
      <c r="E2" s="1" t="s">
        <v>8</v>
      </c>
      <c r="G2" s="2"/>
      <c r="I2" s="1"/>
      <c r="J2" s="4"/>
    </row>
    <row r="3">
      <c r="A3" s="1">
        <v>2.0</v>
      </c>
      <c r="B3" s="2" t="s">
        <v>9</v>
      </c>
      <c r="C3" s="5" t="s">
        <v>10</v>
      </c>
      <c r="D3" s="3" t="s">
        <v>11</v>
      </c>
      <c r="E3" s="1" t="s">
        <v>12</v>
      </c>
      <c r="G3" s="6"/>
      <c r="I3" s="1"/>
      <c r="J3" s="4"/>
    </row>
    <row r="4">
      <c r="A4" s="1">
        <v>3.0</v>
      </c>
      <c r="B4" s="1" t="s">
        <v>13</v>
      </c>
      <c r="C4" s="5" t="s">
        <v>14</v>
      </c>
      <c r="D4" s="7" t="s">
        <v>15</v>
      </c>
      <c r="E4" s="1" t="s">
        <v>16</v>
      </c>
      <c r="G4" s="2"/>
      <c r="I4" s="1"/>
    </row>
    <row r="5">
      <c r="A5" s="1">
        <v>4.0</v>
      </c>
      <c r="B5" s="1" t="s">
        <v>17</v>
      </c>
      <c r="C5" s="5" t="s">
        <v>18</v>
      </c>
      <c r="D5" s="7" t="s">
        <v>19</v>
      </c>
      <c r="E5" s="1" t="s">
        <v>20</v>
      </c>
      <c r="G5" s="6"/>
    </row>
    <row r="6">
      <c r="A6" s="1">
        <v>5.0</v>
      </c>
      <c r="B6" s="1" t="s">
        <v>21</v>
      </c>
      <c r="C6" s="5" t="s">
        <v>22</v>
      </c>
      <c r="D6" s="7" t="s">
        <v>23</v>
      </c>
      <c r="E6" s="1" t="s">
        <v>24</v>
      </c>
      <c r="G6" s="6"/>
    </row>
    <row r="7">
      <c r="A7" s="1">
        <v>6.0</v>
      </c>
      <c r="B7" s="1" t="s">
        <v>25</v>
      </c>
      <c r="C7" s="5" t="s">
        <v>26</v>
      </c>
      <c r="D7" s="7" t="s">
        <v>27</v>
      </c>
      <c r="E7" s="1" t="s">
        <v>28</v>
      </c>
    </row>
    <row r="8">
      <c r="A8" s="1">
        <v>7.0</v>
      </c>
      <c r="B8" s="1" t="s">
        <v>29</v>
      </c>
      <c r="C8" s="5" t="s">
        <v>30</v>
      </c>
      <c r="D8" s="7" t="s">
        <v>31</v>
      </c>
      <c r="E8" s="1" t="s">
        <v>32</v>
      </c>
    </row>
    <row r="9">
      <c r="A9" s="1">
        <v>8.0</v>
      </c>
      <c r="B9" s="1" t="s">
        <v>33</v>
      </c>
      <c r="C9" s="5" t="s">
        <v>34</v>
      </c>
      <c r="D9" s="7" t="s">
        <v>35</v>
      </c>
      <c r="E9" s="1" t="s">
        <v>36</v>
      </c>
    </row>
    <row r="10">
      <c r="A10" s="1">
        <v>9.0</v>
      </c>
      <c r="B10" s="1" t="s">
        <v>37</v>
      </c>
      <c r="C10" s="5" t="s">
        <v>38</v>
      </c>
      <c r="D10" s="7" t="s">
        <v>39</v>
      </c>
      <c r="E10" s="1" t="s">
        <v>40</v>
      </c>
    </row>
    <row r="11">
      <c r="A11" s="1">
        <v>10.0</v>
      </c>
      <c r="B11" s="1" t="s">
        <v>41</v>
      </c>
      <c r="C11" s="5" t="s">
        <v>42</v>
      </c>
      <c r="D11" s="7" t="s">
        <v>43</v>
      </c>
      <c r="E11" s="1" t="s">
        <v>44</v>
      </c>
    </row>
    <row r="12">
      <c r="A12" s="1">
        <v>11.0</v>
      </c>
      <c r="B12" s="1" t="s">
        <v>45</v>
      </c>
      <c r="C12" s="5" t="s">
        <v>46</v>
      </c>
      <c r="D12" s="7" t="s">
        <v>47</v>
      </c>
      <c r="E12" s="1" t="s">
        <v>48</v>
      </c>
    </row>
    <row r="13">
      <c r="A13" s="1">
        <v>12.0</v>
      </c>
      <c r="B13" s="1" t="s">
        <v>49</v>
      </c>
      <c r="C13" s="5" t="s">
        <v>50</v>
      </c>
      <c r="D13" s="7" t="s">
        <v>51</v>
      </c>
      <c r="E13" s="1" t="s">
        <v>52</v>
      </c>
    </row>
    <row r="14">
      <c r="A14" s="1">
        <v>13.0</v>
      </c>
      <c r="B14" s="1" t="s">
        <v>53</v>
      </c>
      <c r="C14" s="5" t="s">
        <v>54</v>
      </c>
      <c r="D14" s="7" t="s">
        <v>55</v>
      </c>
      <c r="E14" s="1" t="s">
        <v>56</v>
      </c>
    </row>
    <row r="15">
      <c r="A15" s="1">
        <v>14.0</v>
      </c>
      <c r="B15" s="1" t="s">
        <v>57</v>
      </c>
      <c r="C15" s="5" t="s">
        <v>58</v>
      </c>
      <c r="D15" s="7" t="s">
        <v>59</v>
      </c>
      <c r="E15" s="1" t="s">
        <v>60</v>
      </c>
    </row>
    <row r="16">
      <c r="A16" s="1">
        <v>15.0</v>
      </c>
      <c r="B16" s="1" t="s">
        <v>61</v>
      </c>
      <c r="C16" s="5" t="s">
        <v>62</v>
      </c>
      <c r="D16" s="7" t="s">
        <v>63</v>
      </c>
      <c r="E16" s="1" t="s">
        <v>64</v>
      </c>
    </row>
    <row r="17">
      <c r="A17" s="1">
        <v>16.0</v>
      </c>
      <c r="B17" s="1" t="s">
        <v>65</v>
      </c>
      <c r="C17" s="5" t="s">
        <v>66</v>
      </c>
      <c r="D17" s="7" t="s">
        <v>67</v>
      </c>
      <c r="E17" s="1" t="s">
        <v>68</v>
      </c>
    </row>
    <row r="18">
      <c r="A18" s="1">
        <v>17.0</v>
      </c>
      <c r="B18" s="1" t="s">
        <v>69</v>
      </c>
      <c r="C18" s="5" t="s">
        <v>70</v>
      </c>
      <c r="D18" s="7" t="s">
        <v>71</v>
      </c>
      <c r="E18" s="1" t="s">
        <v>72</v>
      </c>
    </row>
    <row r="19">
      <c r="A19" s="1">
        <v>18.0</v>
      </c>
      <c r="B19" s="1" t="s">
        <v>73</v>
      </c>
      <c r="C19" s="5" t="s">
        <v>74</v>
      </c>
      <c r="D19" s="7" t="s">
        <v>75</v>
      </c>
      <c r="E19" s="1" t="s">
        <v>76</v>
      </c>
    </row>
    <row r="20">
      <c r="A20" s="1">
        <v>19.0</v>
      </c>
      <c r="B20" s="1" t="s">
        <v>77</v>
      </c>
      <c r="C20" s="5" t="s">
        <v>74</v>
      </c>
      <c r="D20" s="7" t="s">
        <v>75</v>
      </c>
      <c r="E20" s="1" t="s">
        <v>76</v>
      </c>
    </row>
    <row r="21">
      <c r="A21" s="1">
        <v>20.0</v>
      </c>
      <c r="B21" s="1" t="s">
        <v>78</v>
      </c>
      <c r="C21" s="5" t="s">
        <v>79</v>
      </c>
      <c r="D21" s="7" t="s">
        <v>80</v>
      </c>
      <c r="E21" s="1" t="s">
        <v>81</v>
      </c>
    </row>
    <row r="22">
      <c r="A22" s="1">
        <v>21.0</v>
      </c>
      <c r="B22" s="1" t="s">
        <v>82</v>
      </c>
      <c r="C22" s="8" t="s">
        <v>83</v>
      </c>
      <c r="D22" s="7" t="s">
        <v>84</v>
      </c>
      <c r="E22" s="1" t="s">
        <v>85</v>
      </c>
    </row>
    <row r="23">
      <c r="A23" s="1">
        <v>22.0</v>
      </c>
      <c r="B23" s="1" t="s">
        <v>86</v>
      </c>
      <c r="C23" s="5" t="s">
        <v>87</v>
      </c>
      <c r="D23" s="7" t="s">
        <v>88</v>
      </c>
      <c r="E23" s="1" t="s">
        <v>89</v>
      </c>
    </row>
    <row r="24">
      <c r="A24" s="1">
        <v>23.0</v>
      </c>
      <c r="B24" s="1" t="s">
        <v>90</v>
      </c>
      <c r="C24" s="5" t="s">
        <v>91</v>
      </c>
      <c r="D24" s="7" t="s">
        <v>92</v>
      </c>
      <c r="E24" s="1" t="s">
        <v>93</v>
      </c>
    </row>
    <row r="25">
      <c r="A25" s="1">
        <v>24.0</v>
      </c>
      <c r="B25" s="1" t="s">
        <v>94</v>
      </c>
      <c r="C25" s="5" t="s">
        <v>95</v>
      </c>
      <c r="D25" s="7" t="s">
        <v>96</v>
      </c>
      <c r="E25" s="1" t="s">
        <v>97</v>
      </c>
    </row>
    <row r="26">
      <c r="A26" s="1">
        <v>25.0</v>
      </c>
      <c r="B26" s="1" t="s">
        <v>98</v>
      </c>
      <c r="C26" s="5" t="s">
        <v>99</v>
      </c>
      <c r="D26" s="7" t="s">
        <v>100</v>
      </c>
      <c r="E26" s="1" t="s">
        <v>101</v>
      </c>
    </row>
    <row r="27">
      <c r="A27" s="1">
        <v>26.0</v>
      </c>
      <c r="B27" s="1" t="s">
        <v>102</v>
      </c>
      <c r="C27" s="5" t="s">
        <v>103</v>
      </c>
      <c r="D27" s="7" t="s">
        <v>104</v>
      </c>
      <c r="E27" s="1" t="s">
        <v>105</v>
      </c>
    </row>
    <row r="28">
      <c r="A28" s="1">
        <v>27.0</v>
      </c>
      <c r="B28" s="1" t="s">
        <v>106</v>
      </c>
      <c r="C28" s="5" t="s">
        <v>107</v>
      </c>
      <c r="D28" s="7" t="s">
        <v>108</v>
      </c>
      <c r="E28" s="1" t="s">
        <v>109</v>
      </c>
    </row>
    <row r="29">
      <c r="A29" s="1">
        <v>28.0</v>
      </c>
      <c r="B29" s="1" t="s">
        <v>110</v>
      </c>
      <c r="C29" s="5" t="s">
        <v>111</v>
      </c>
      <c r="D29" s="7" t="s">
        <v>112</v>
      </c>
      <c r="E29" s="1" t="s">
        <v>113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6.0"/>
    <col customWidth="1" min="5" max="5" width="16.75"/>
    <col customWidth="1" min="6" max="11" width="16.0"/>
    <col customWidth="1" min="12" max="12" width="18.5"/>
    <col customWidth="1" min="13" max="13" width="21.0"/>
    <col customWidth="1" min="14" max="14" width="16.0"/>
    <col customWidth="1" min="15" max="15" width="18.5"/>
    <col customWidth="1" min="16" max="16" width="16.0"/>
    <col customWidth="1" min="17" max="17" width="16.75"/>
    <col customWidth="1" min="18" max="18" width="15.88"/>
    <col customWidth="1" min="19" max="19" width="16.0"/>
    <col customWidth="1" min="20" max="20" width="20.75"/>
    <col customWidth="1" min="21" max="21" width="16.0"/>
    <col customWidth="1" min="25" max="25" width="17.0"/>
  </cols>
  <sheetData>
    <row r="1">
      <c r="B1" s="1" t="s">
        <v>78</v>
      </c>
      <c r="C1" s="1" t="s">
        <v>90</v>
      </c>
      <c r="D1" s="1" t="s">
        <v>114</v>
      </c>
      <c r="E1" s="1" t="s">
        <v>114</v>
      </c>
      <c r="F1" s="9" t="s">
        <v>114</v>
      </c>
      <c r="G1" s="10" t="s">
        <v>114</v>
      </c>
      <c r="H1" s="11" t="s">
        <v>115</v>
      </c>
      <c r="I1" s="10" t="s">
        <v>116</v>
      </c>
      <c r="J1" s="10" t="s">
        <v>21</v>
      </c>
      <c r="K1" s="9" t="s">
        <v>21</v>
      </c>
      <c r="L1" s="10" t="s">
        <v>117</v>
      </c>
      <c r="M1" s="9" t="s">
        <v>117</v>
      </c>
      <c r="N1" s="9" t="s">
        <v>118</v>
      </c>
      <c r="O1" s="9" t="s">
        <v>119</v>
      </c>
      <c r="P1" s="10" t="s">
        <v>119</v>
      </c>
    </row>
    <row r="2">
      <c r="B2" s="1" t="s">
        <v>120</v>
      </c>
      <c r="C2" s="1" t="s">
        <v>114</v>
      </c>
      <c r="D2" s="1" t="s">
        <v>78</v>
      </c>
      <c r="E2" s="1" t="s">
        <v>78</v>
      </c>
      <c r="F2" s="9" t="s">
        <v>121</v>
      </c>
      <c r="G2" s="10" t="s">
        <v>117</v>
      </c>
      <c r="H2" s="11" t="s">
        <v>119</v>
      </c>
      <c r="I2" s="10" t="s">
        <v>119</v>
      </c>
      <c r="J2" s="10" t="s">
        <v>122</v>
      </c>
      <c r="K2" s="9" t="s">
        <v>123</v>
      </c>
      <c r="L2" s="10" t="s">
        <v>123</v>
      </c>
      <c r="M2" s="9" t="s">
        <v>124</v>
      </c>
      <c r="N2" s="9" t="s">
        <v>119</v>
      </c>
      <c r="O2" s="9" t="s">
        <v>117</v>
      </c>
      <c r="P2" s="10" t="s">
        <v>125</v>
      </c>
    </row>
    <row r="3">
      <c r="A3" s="1" t="s">
        <v>126</v>
      </c>
      <c r="C3" s="1">
        <v>120.0</v>
      </c>
      <c r="D3" s="1">
        <v>15.0</v>
      </c>
      <c r="F3" s="1">
        <v>10.0</v>
      </c>
      <c r="G3" s="1">
        <v>75.0</v>
      </c>
      <c r="H3" s="1">
        <v>70.0</v>
      </c>
      <c r="I3" s="1">
        <v>50.0</v>
      </c>
      <c r="J3" s="1">
        <v>90.0</v>
      </c>
      <c r="K3" s="1">
        <v>35.0</v>
      </c>
      <c r="L3" s="1">
        <v>60.0</v>
      </c>
      <c r="M3" s="1">
        <v>25.0</v>
      </c>
      <c r="N3" s="1">
        <v>40.0</v>
      </c>
      <c r="O3" s="1">
        <v>105.0</v>
      </c>
      <c r="P3" s="1">
        <v>75.0</v>
      </c>
    </row>
    <row r="4">
      <c r="A4" s="1" t="s">
        <v>127</v>
      </c>
      <c r="C4" s="1">
        <v>60.0</v>
      </c>
      <c r="D4" s="1">
        <v>15.0</v>
      </c>
      <c r="F4" s="1">
        <v>10.0</v>
      </c>
      <c r="G4" s="1">
        <v>45.0</v>
      </c>
      <c r="H4" s="1">
        <v>65.0</v>
      </c>
      <c r="I4" s="1">
        <v>50.0</v>
      </c>
      <c r="J4" s="1">
        <v>90.0</v>
      </c>
      <c r="K4" s="1">
        <v>20.0</v>
      </c>
      <c r="L4" s="1">
        <v>35.0</v>
      </c>
      <c r="M4" s="1">
        <v>15.0</v>
      </c>
      <c r="N4" s="1">
        <v>40.0</v>
      </c>
      <c r="O4" s="1">
        <v>75.0</v>
      </c>
      <c r="P4" s="1">
        <v>50.0</v>
      </c>
    </row>
    <row r="5">
      <c r="B5" s="12" t="s">
        <v>128</v>
      </c>
      <c r="C5" s="12" t="s">
        <v>129</v>
      </c>
      <c r="D5" s="12" t="s">
        <v>130</v>
      </c>
      <c r="F5" s="12" t="s">
        <v>131</v>
      </c>
      <c r="G5" s="12" t="s">
        <v>132</v>
      </c>
      <c r="H5" s="12" t="s">
        <v>133</v>
      </c>
      <c r="I5" s="12" t="s">
        <v>134</v>
      </c>
      <c r="J5" s="12" t="s">
        <v>135</v>
      </c>
      <c r="K5" s="12" t="s">
        <v>136</v>
      </c>
      <c r="L5" s="12" t="s">
        <v>137</v>
      </c>
      <c r="M5" s="12" t="s">
        <v>138</v>
      </c>
      <c r="N5" s="12" t="s">
        <v>139</v>
      </c>
      <c r="O5" s="12" t="s">
        <v>140</v>
      </c>
      <c r="P5" s="12" t="s">
        <v>141</v>
      </c>
    </row>
    <row r="6">
      <c r="B6" s="12" t="s">
        <v>142</v>
      </c>
      <c r="C6" s="12" t="s">
        <v>143</v>
      </c>
      <c r="D6" s="12" t="s">
        <v>144</v>
      </c>
      <c r="F6" s="12" t="s">
        <v>145</v>
      </c>
      <c r="G6" s="12" t="s">
        <v>146</v>
      </c>
      <c r="H6" s="12" t="s">
        <v>147</v>
      </c>
      <c r="I6" s="12" t="s">
        <v>148</v>
      </c>
      <c r="J6" s="12" t="s">
        <v>149</v>
      </c>
      <c r="K6" s="12" t="s">
        <v>150</v>
      </c>
      <c r="L6" s="12" t="s">
        <v>151</v>
      </c>
      <c r="M6" s="12" t="s">
        <v>152</v>
      </c>
      <c r="N6" s="12" t="s">
        <v>153</v>
      </c>
      <c r="O6" s="12" t="s">
        <v>154</v>
      </c>
      <c r="P6" s="12" t="s">
        <v>155</v>
      </c>
    </row>
    <row r="7">
      <c r="B7" s="12" t="s">
        <v>156</v>
      </c>
      <c r="C7" s="12" t="s">
        <v>157</v>
      </c>
      <c r="D7" s="12" t="s">
        <v>158</v>
      </c>
      <c r="F7" s="12" t="s">
        <v>159</v>
      </c>
      <c r="G7" s="12" t="s">
        <v>160</v>
      </c>
      <c r="H7" s="12" t="s">
        <v>161</v>
      </c>
      <c r="I7" s="12" t="s">
        <v>162</v>
      </c>
      <c r="J7" s="12" t="s">
        <v>163</v>
      </c>
      <c r="K7" s="12" t="s">
        <v>164</v>
      </c>
      <c r="L7" s="12" t="s">
        <v>165</v>
      </c>
      <c r="M7" s="12" t="s">
        <v>166</v>
      </c>
      <c r="N7" s="12" t="s">
        <v>167</v>
      </c>
      <c r="O7" s="12" t="s">
        <v>168</v>
      </c>
      <c r="P7" s="12" t="s">
        <v>169</v>
      </c>
    </row>
    <row r="8">
      <c r="L8" s="13"/>
    </row>
    <row r="9">
      <c r="L9" s="13"/>
    </row>
    <row r="10">
      <c r="L10" s="13"/>
      <c r="P10" s="1" t="s">
        <v>170</v>
      </c>
    </row>
    <row r="11">
      <c r="L11" s="13"/>
      <c r="M11" s="1" t="s">
        <v>78</v>
      </c>
      <c r="N11" s="1" t="s">
        <v>90</v>
      </c>
      <c r="O11" s="1" t="s">
        <v>114</v>
      </c>
      <c r="P11" s="1" t="s">
        <v>114</v>
      </c>
      <c r="Q11" s="9" t="s">
        <v>114</v>
      </c>
      <c r="R11" s="10" t="s">
        <v>114</v>
      </c>
      <c r="S11" s="11"/>
      <c r="T11" s="10"/>
      <c r="U11" s="10"/>
      <c r="V11" s="10"/>
      <c r="W11" s="10"/>
      <c r="X11" s="10"/>
      <c r="Y11" s="11"/>
    </row>
    <row r="12">
      <c r="L12" s="13"/>
      <c r="M12" s="1" t="s">
        <v>120</v>
      </c>
      <c r="N12" s="1" t="s">
        <v>114</v>
      </c>
      <c r="O12" s="1" t="s">
        <v>78</v>
      </c>
      <c r="P12" s="1" t="s">
        <v>78</v>
      </c>
      <c r="Q12" s="9" t="s">
        <v>121</v>
      </c>
      <c r="R12" s="10" t="s">
        <v>117</v>
      </c>
      <c r="S12" s="11"/>
      <c r="T12" s="10"/>
      <c r="U12" s="10"/>
      <c r="V12" s="10"/>
      <c r="W12" s="10"/>
      <c r="X12" s="10"/>
      <c r="Y12" s="11"/>
    </row>
    <row r="13">
      <c r="B13" s="14" t="s">
        <v>171</v>
      </c>
      <c r="L13" s="13"/>
      <c r="N13" s="1">
        <v>120.0</v>
      </c>
      <c r="O13" s="1">
        <v>15.0</v>
      </c>
      <c r="Q13" s="1">
        <v>10.0</v>
      </c>
      <c r="R13" s="1">
        <v>75.0</v>
      </c>
    </row>
    <row r="14">
      <c r="B14" s="14" t="s">
        <v>172</v>
      </c>
      <c r="D14" s="1" t="s">
        <v>173</v>
      </c>
      <c r="E14" s="1" t="s">
        <v>174</v>
      </c>
      <c r="F14" s="1" t="s">
        <v>175</v>
      </c>
      <c r="G14" s="1" t="s">
        <v>176</v>
      </c>
      <c r="H14" s="1" t="s">
        <v>177</v>
      </c>
      <c r="I14" s="1" t="s">
        <v>178</v>
      </c>
      <c r="L14" s="13"/>
      <c r="N14" s="1">
        <v>60.0</v>
      </c>
      <c r="O14" s="1">
        <v>15.0</v>
      </c>
      <c r="Q14" s="1">
        <v>10.0</v>
      </c>
      <c r="R14" s="1">
        <v>45.0</v>
      </c>
    </row>
    <row r="15">
      <c r="B15" s="1">
        <v>45.0</v>
      </c>
      <c r="D15" s="1">
        <v>1.0</v>
      </c>
      <c r="E15" s="1">
        <v>28.0</v>
      </c>
      <c r="F15" s="1">
        <v>24.0</v>
      </c>
      <c r="G15" s="1">
        <v>45.0</v>
      </c>
      <c r="H15" s="1">
        <v>45.0</v>
      </c>
      <c r="I15" s="12" t="s">
        <v>179</v>
      </c>
      <c r="J15" s="12" t="s">
        <v>180</v>
      </c>
      <c r="K15" s="12" t="s">
        <v>181</v>
      </c>
      <c r="L15" s="13"/>
      <c r="M15" s="12" t="s">
        <v>128</v>
      </c>
      <c r="N15" s="12" t="s">
        <v>129</v>
      </c>
      <c r="O15" s="12" t="s">
        <v>130</v>
      </c>
      <c r="Q15" s="12" t="s">
        <v>131</v>
      </c>
      <c r="R15" s="12" t="s">
        <v>132</v>
      </c>
      <c r="S15" s="12"/>
      <c r="T15" s="12"/>
      <c r="U15" s="12"/>
      <c r="V15" s="12"/>
      <c r="W15" s="12"/>
      <c r="X15" s="12"/>
      <c r="Y15" s="12"/>
      <c r="Z15" s="12"/>
    </row>
    <row r="16">
      <c r="B16" s="1">
        <v>45.0</v>
      </c>
      <c r="D16" s="1">
        <v>2.0</v>
      </c>
      <c r="E16" s="1">
        <v>24.0</v>
      </c>
      <c r="F16" s="11">
        <v>7.0</v>
      </c>
      <c r="G16" s="1">
        <v>15.0</v>
      </c>
      <c r="H16" s="1">
        <v>15.0</v>
      </c>
      <c r="I16" s="12" t="s">
        <v>182</v>
      </c>
      <c r="J16" s="12" t="s">
        <v>183</v>
      </c>
      <c r="K16" s="12" t="s">
        <v>184</v>
      </c>
      <c r="L16" s="13"/>
      <c r="M16" s="12" t="s">
        <v>142</v>
      </c>
      <c r="N16" s="12" t="s">
        <v>143</v>
      </c>
      <c r="O16" s="12" t="s">
        <v>144</v>
      </c>
      <c r="Q16" s="12" t="s">
        <v>145</v>
      </c>
      <c r="R16" s="12" t="s">
        <v>146</v>
      </c>
      <c r="S16" s="12"/>
      <c r="T16" s="12"/>
      <c r="U16" s="12"/>
      <c r="V16" s="12"/>
      <c r="W16" s="12"/>
      <c r="X16" s="12"/>
      <c r="Y16" s="12"/>
      <c r="Z16" s="12"/>
    </row>
    <row r="17">
      <c r="B17" s="12" t="s">
        <v>179</v>
      </c>
      <c r="D17" s="1">
        <v>3.0</v>
      </c>
      <c r="E17" s="1">
        <v>7.0</v>
      </c>
      <c r="F17" s="1">
        <v>22.0</v>
      </c>
      <c r="G17" s="1">
        <v>90.0</v>
      </c>
      <c r="H17" s="1">
        <v>60.0</v>
      </c>
      <c r="I17" s="12" t="s">
        <v>185</v>
      </c>
      <c r="J17" s="12" t="s">
        <v>186</v>
      </c>
      <c r="K17" s="12" t="s">
        <v>187</v>
      </c>
      <c r="L17" s="13"/>
      <c r="M17" s="12" t="s">
        <v>156</v>
      </c>
      <c r="N17" s="12" t="s">
        <v>157</v>
      </c>
      <c r="O17" s="12" t="s">
        <v>158</v>
      </c>
      <c r="Q17" s="12" t="s">
        <v>159</v>
      </c>
      <c r="R17" s="12" t="s">
        <v>160</v>
      </c>
      <c r="S17" s="12"/>
      <c r="T17" s="12"/>
      <c r="U17" s="12"/>
      <c r="V17" s="12"/>
      <c r="W17" s="12"/>
      <c r="X17" s="12"/>
      <c r="Y17" s="12"/>
      <c r="Z17" s="12"/>
    </row>
    <row r="18">
      <c r="B18" s="12" t="s">
        <v>180</v>
      </c>
      <c r="D18" s="1">
        <v>4.0</v>
      </c>
      <c r="E18" s="1">
        <v>22.0</v>
      </c>
      <c r="F18" s="1">
        <v>16.0</v>
      </c>
      <c r="G18" s="1">
        <v>60.0</v>
      </c>
      <c r="H18" s="1">
        <v>60.0</v>
      </c>
      <c r="I18" s="12" t="s">
        <v>188</v>
      </c>
      <c r="J18" s="12" t="s">
        <v>189</v>
      </c>
      <c r="K18" s="12" t="s">
        <v>190</v>
      </c>
      <c r="L18" s="13"/>
    </row>
    <row r="19">
      <c r="B19" s="12" t="s">
        <v>181</v>
      </c>
      <c r="D19" s="1">
        <v>5.0</v>
      </c>
      <c r="E19" s="1">
        <v>16.0</v>
      </c>
      <c r="F19" s="1">
        <v>15.0</v>
      </c>
      <c r="G19" s="1">
        <v>30.0</v>
      </c>
      <c r="H19" s="1">
        <v>30.0</v>
      </c>
      <c r="I19" s="12" t="s">
        <v>191</v>
      </c>
      <c r="J19" s="12" t="s">
        <v>192</v>
      </c>
      <c r="K19" s="12" t="s">
        <v>193</v>
      </c>
      <c r="L19" s="13"/>
    </row>
    <row r="20">
      <c r="D20" s="1">
        <v>6.0</v>
      </c>
      <c r="E20" s="1">
        <v>24.0</v>
      </c>
      <c r="F20" s="1">
        <v>25.0</v>
      </c>
      <c r="G20" s="1">
        <v>30.0</v>
      </c>
      <c r="H20" s="1">
        <v>45.0</v>
      </c>
      <c r="I20" s="12" t="s">
        <v>194</v>
      </c>
      <c r="J20" s="12" t="s">
        <v>195</v>
      </c>
      <c r="K20" s="12" t="s">
        <v>196</v>
      </c>
      <c r="L20" s="13"/>
      <c r="M20" s="9"/>
    </row>
    <row r="21">
      <c r="D21" s="1">
        <v>7.0</v>
      </c>
      <c r="E21" s="1">
        <v>25.0</v>
      </c>
      <c r="F21" s="1">
        <v>21.0</v>
      </c>
      <c r="G21" s="1">
        <v>10.0</v>
      </c>
      <c r="H21" s="1">
        <v>10.0</v>
      </c>
      <c r="I21" s="12" t="s">
        <v>197</v>
      </c>
      <c r="J21" s="12" t="s">
        <v>198</v>
      </c>
      <c r="K21" s="12" t="s">
        <v>199</v>
      </c>
      <c r="L21" s="13"/>
      <c r="M21" s="9"/>
    </row>
    <row r="22">
      <c r="D22" s="1">
        <v>8.0</v>
      </c>
      <c r="E22" s="1">
        <v>21.0</v>
      </c>
      <c r="F22" s="1">
        <v>8.0</v>
      </c>
      <c r="G22" s="1">
        <v>20.0</v>
      </c>
      <c r="H22" s="1">
        <v>15.0</v>
      </c>
      <c r="I22" s="12" t="s">
        <v>200</v>
      </c>
      <c r="J22" s="12" t="s">
        <v>201</v>
      </c>
      <c r="K22" s="12" t="s">
        <v>202</v>
      </c>
      <c r="L22" s="13"/>
    </row>
    <row r="23">
      <c r="D23" s="1">
        <v>9.0</v>
      </c>
      <c r="E23" s="1">
        <v>9.0</v>
      </c>
      <c r="F23" s="1">
        <v>22.0</v>
      </c>
      <c r="G23" s="1">
        <v>75.0</v>
      </c>
      <c r="H23" s="1">
        <v>45.0</v>
      </c>
      <c r="I23" s="12" t="s">
        <v>203</v>
      </c>
      <c r="J23" s="12" t="s">
        <v>204</v>
      </c>
      <c r="K23" s="12" t="s">
        <v>205</v>
      </c>
      <c r="L23" s="13"/>
    </row>
    <row r="24">
      <c r="D24" s="1">
        <v>10.0</v>
      </c>
      <c r="E24" s="1">
        <v>2.0</v>
      </c>
      <c r="F24" s="1">
        <v>3.0</v>
      </c>
      <c r="G24" s="11">
        <v>120.0</v>
      </c>
      <c r="H24" s="1">
        <v>70.0</v>
      </c>
      <c r="I24" s="12" t="s">
        <v>206</v>
      </c>
      <c r="J24" s="12" t="s">
        <v>207</v>
      </c>
      <c r="K24" s="12" t="s">
        <v>208</v>
      </c>
      <c r="L24" s="13"/>
      <c r="M24" s="12"/>
    </row>
    <row r="25">
      <c r="D25" s="1">
        <v>11.0</v>
      </c>
      <c r="E25" s="1">
        <v>3.0</v>
      </c>
      <c r="F25" s="1">
        <v>4.0</v>
      </c>
      <c r="G25" s="1">
        <v>60.0</v>
      </c>
      <c r="H25" s="1">
        <v>45.0</v>
      </c>
      <c r="I25" s="12" t="s">
        <v>209</v>
      </c>
      <c r="J25" s="12" t="s">
        <v>210</v>
      </c>
      <c r="K25" s="12" t="s">
        <v>211</v>
      </c>
      <c r="L25" s="13"/>
      <c r="M25" s="12"/>
    </row>
    <row r="26">
      <c r="D26" s="1">
        <v>12.0</v>
      </c>
      <c r="E26" s="1">
        <v>4.0</v>
      </c>
      <c r="F26" s="1">
        <v>17.0</v>
      </c>
      <c r="G26" s="1">
        <v>45.0</v>
      </c>
      <c r="H26" s="1">
        <v>45.0</v>
      </c>
      <c r="I26" s="12" t="s">
        <v>212</v>
      </c>
      <c r="J26" s="12" t="s">
        <v>213</v>
      </c>
      <c r="K26" s="12" t="s">
        <v>214</v>
      </c>
      <c r="L26" s="13"/>
      <c r="M26" s="12"/>
    </row>
    <row r="27">
      <c r="D27" s="1">
        <v>13.0</v>
      </c>
      <c r="E27" s="1">
        <v>26.0</v>
      </c>
      <c r="F27" s="1">
        <v>6.0</v>
      </c>
      <c r="G27" s="1">
        <v>60.0</v>
      </c>
      <c r="H27" s="1">
        <v>40.0</v>
      </c>
      <c r="I27" s="12" t="s">
        <v>215</v>
      </c>
      <c r="J27" s="12" t="s">
        <v>216</v>
      </c>
      <c r="K27" s="12" t="s">
        <v>217</v>
      </c>
      <c r="L27" s="13"/>
    </row>
    <row r="28">
      <c r="D28" s="1">
        <v>14.0</v>
      </c>
      <c r="E28" s="1">
        <v>6.0</v>
      </c>
      <c r="F28" s="1">
        <v>18.0</v>
      </c>
      <c r="G28" s="1">
        <v>40.0</v>
      </c>
      <c r="H28" s="1">
        <v>30.0</v>
      </c>
      <c r="I28" s="12" t="s">
        <v>218</v>
      </c>
      <c r="J28" s="12" t="s">
        <v>219</v>
      </c>
      <c r="K28" s="12" t="s">
        <v>220</v>
      </c>
      <c r="L28" s="13"/>
    </row>
    <row r="29">
      <c r="D29" s="1">
        <v>15.0</v>
      </c>
      <c r="E29" s="1">
        <v>18.0</v>
      </c>
      <c r="F29" s="1">
        <v>19.0</v>
      </c>
      <c r="G29" s="1">
        <v>12.0</v>
      </c>
      <c r="H29" s="1">
        <v>8.0</v>
      </c>
      <c r="I29" s="12" t="s">
        <v>221</v>
      </c>
      <c r="J29" s="12" t="s">
        <v>222</v>
      </c>
      <c r="K29" s="12" t="s">
        <v>223</v>
      </c>
      <c r="L29" s="13"/>
    </row>
    <row r="30">
      <c r="D30" s="1">
        <v>16.0</v>
      </c>
      <c r="E30" s="1">
        <v>17.0</v>
      </c>
      <c r="F30" s="1">
        <v>16.0</v>
      </c>
      <c r="G30" s="1">
        <v>25.0</v>
      </c>
      <c r="H30" s="1">
        <v>25.0</v>
      </c>
      <c r="I30" s="12" t="s">
        <v>224</v>
      </c>
      <c r="J30" s="12" t="s">
        <v>225</v>
      </c>
      <c r="K30" s="12" t="s">
        <v>226</v>
      </c>
      <c r="L30" s="13"/>
    </row>
    <row r="31">
      <c r="D31" s="1">
        <v>17.0</v>
      </c>
      <c r="E31" s="1">
        <v>14.0</v>
      </c>
      <c r="F31" s="1">
        <v>15.0</v>
      </c>
      <c r="G31" s="1">
        <v>105.0</v>
      </c>
      <c r="H31" s="1">
        <v>60.0</v>
      </c>
      <c r="I31" s="12" t="s">
        <v>227</v>
      </c>
      <c r="J31" s="12" t="s">
        <v>228</v>
      </c>
      <c r="K31" s="12" t="s">
        <v>229</v>
      </c>
      <c r="L31" s="13"/>
    </row>
    <row r="32">
      <c r="D32" s="1">
        <v>18.0</v>
      </c>
      <c r="E32" s="1">
        <v>12.0</v>
      </c>
      <c r="F32" s="1">
        <v>14.0</v>
      </c>
      <c r="G32" s="1">
        <v>60.0</v>
      </c>
      <c r="H32" s="1">
        <v>45.0</v>
      </c>
      <c r="I32" s="12" t="s">
        <v>230</v>
      </c>
      <c r="J32" s="12" t="s">
        <v>231</v>
      </c>
      <c r="K32" s="12" t="s">
        <v>232</v>
      </c>
      <c r="L32" s="13"/>
    </row>
    <row r="33">
      <c r="D33" s="1">
        <v>19.0</v>
      </c>
      <c r="E33" s="1">
        <v>13.0</v>
      </c>
      <c r="F33" s="1">
        <v>12.0</v>
      </c>
      <c r="G33" s="1">
        <v>45.0</v>
      </c>
      <c r="H33" s="1">
        <v>60.0</v>
      </c>
      <c r="I33" s="12" t="s">
        <v>233</v>
      </c>
      <c r="J33" s="12" t="s">
        <v>234</v>
      </c>
      <c r="K33" s="12" t="s">
        <v>235</v>
      </c>
      <c r="L33" s="13"/>
    </row>
    <row r="34">
      <c r="D34" s="1">
        <v>20.0</v>
      </c>
      <c r="E34" s="1">
        <v>10.0</v>
      </c>
      <c r="F34" s="1">
        <v>13.0</v>
      </c>
      <c r="G34" s="1">
        <v>60.0</v>
      </c>
      <c r="H34" s="1">
        <v>30.0</v>
      </c>
      <c r="I34" s="12" t="s">
        <v>236</v>
      </c>
      <c r="J34" s="12" t="s">
        <v>237</v>
      </c>
      <c r="K34" s="12" t="s">
        <v>238</v>
      </c>
      <c r="L34" s="13"/>
    </row>
    <row r="35">
      <c r="D35" s="1">
        <v>21.0</v>
      </c>
      <c r="E35" s="1">
        <v>11.0</v>
      </c>
      <c r="F35" s="1">
        <v>10.0</v>
      </c>
      <c r="G35" s="1">
        <v>60.0</v>
      </c>
      <c r="H35" s="1">
        <v>35.0</v>
      </c>
      <c r="I35" s="12" t="s">
        <v>239</v>
      </c>
      <c r="J35" s="12" t="s">
        <v>240</v>
      </c>
      <c r="K35" s="12" t="s">
        <v>241</v>
      </c>
      <c r="L35" s="13"/>
    </row>
    <row r="36">
      <c r="D36" s="1">
        <v>22.0</v>
      </c>
      <c r="E36" s="1">
        <v>11.0</v>
      </c>
      <c r="F36" s="1">
        <v>21.0</v>
      </c>
      <c r="G36" s="1">
        <v>90.0</v>
      </c>
      <c r="H36" s="1">
        <v>90.0</v>
      </c>
      <c r="I36" s="12" t="s">
        <v>242</v>
      </c>
      <c r="J36" s="12" t="s">
        <v>243</v>
      </c>
      <c r="K36" s="12" t="s">
        <v>244</v>
      </c>
      <c r="L36" s="13"/>
    </row>
    <row r="37">
      <c r="D37" s="1">
        <v>23.0</v>
      </c>
      <c r="E37" s="1">
        <v>21.0</v>
      </c>
      <c r="F37" s="1">
        <v>9.0</v>
      </c>
      <c r="G37" s="1">
        <v>35.0</v>
      </c>
      <c r="H37" s="1">
        <v>25.0</v>
      </c>
      <c r="I37" s="12" t="s">
        <v>245</v>
      </c>
      <c r="J37" s="12" t="s">
        <v>246</v>
      </c>
      <c r="K37" s="12" t="s">
        <v>247</v>
      </c>
    </row>
    <row r="38">
      <c r="D38" s="1">
        <v>24.0</v>
      </c>
      <c r="E38" s="1">
        <v>9.0</v>
      </c>
      <c r="F38" s="1">
        <v>14.0</v>
      </c>
      <c r="G38" s="1">
        <v>75.0</v>
      </c>
      <c r="H38" s="1">
        <v>45.0</v>
      </c>
      <c r="I38" s="12" t="s">
        <v>248</v>
      </c>
      <c r="J38" s="12" t="s">
        <v>249</v>
      </c>
      <c r="K38" s="12" t="s">
        <v>250</v>
      </c>
      <c r="L38" s="13"/>
    </row>
    <row r="39">
      <c r="D39" s="1">
        <v>25.0</v>
      </c>
      <c r="E39" s="1">
        <v>26.0</v>
      </c>
      <c r="F39" s="1">
        <v>7.0</v>
      </c>
      <c r="G39" s="1">
        <v>30.0</v>
      </c>
      <c r="H39" s="1">
        <v>15.0</v>
      </c>
      <c r="I39" s="12" t="s">
        <v>251</v>
      </c>
      <c r="J39" s="12" t="s">
        <v>252</v>
      </c>
      <c r="K39" s="12" t="s">
        <v>253</v>
      </c>
      <c r="L39" s="13"/>
    </row>
    <row r="40">
      <c r="D40" s="1">
        <v>26.0</v>
      </c>
      <c r="E40" s="1">
        <v>24.0</v>
      </c>
      <c r="F40" s="1">
        <v>26.0</v>
      </c>
      <c r="G40" s="1">
        <v>30.0</v>
      </c>
      <c r="H40" s="1">
        <v>15.0</v>
      </c>
      <c r="I40" s="15" t="s">
        <v>254</v>
      </c>
      <c r="J40" s="12" t="s">
        <v>255</v>
      </c>
      <c r="K40" s="12" t="s">
        <v>256</v>
      </c>
      <c r="L40" s="13"/>
    </row>
    <row r="41">
      <c r="D41" s="1">
        <v>27.0</v>
      </c>
      <c r="E41" s="1">
        <v>8.0</v>
      </c>
      <c r="F41" s="1">
        <v>7.0</v>
      </c>
      <c r="G41" s="1">
        <v>30.0</v>
      </c>
      <c r="H41" s="1">
        <v>30.0</v>
      </c>
      <c r="I41" s="12" t="s">
        <v>257</v>
      </c>
      <c r="J41" s="12" t="s">
        <v>258</v>
      </c>
      <c r="K41" s="12" t="s">
        <v>259</v>
      </c>
      <c r="L41" s="13"/>
    </row>
    <row r="42">
      <c r="D42" s="1">
        <v>28.0</v>
      </c>
      <c r="E42" s="1">
        <v>9.0</v>
      </c>
      <c r="F42" s="1">
        <v>8.0</v>
      </c>
      <c r="G42" s="1">
        <v>15.0</v>
      </c>
      <c r="H42" s="1">
        <v>15.0</v>
      </c>
      <c r="I42" s="12" t="s">
        <v>260</v>
      </c>
      <c r="J42" s="12" t="s">
        <v>261</v>
      </c>
      <c r="K42" s="12" t="s">
        <v>262</v>
      </c>
      <c r="L42" s="13"/>
    </row>
    <row r="43">
      <c r="D43" s="1">
        <v>29.0</v>
      </c>
      <c r="E43" s="1">
        <v>9.0</v>
      </c>
      <c r="F43" s="1">
        <v>10.0</v>
      </c>
      <c r="G43" s="1">
        <v>50.0</v>
      </c>
      <c r="H43" s="1">
        <v>60.0</v>
      </c>
      <c r="I43" s="12" t="s">
        <v>263</v>
      </c>
      <c r="J43" s="12" t="s">
        <v>264</v>
      </c>
      <c r="K43" s="12" t="s">
        <v>265</v>
      </c>
      <c r="L43" s="13"/>
    </row>
    <row r="44">
      <c r="D44" s="1">
        <v>30.0</v>
      </c>
      <c r="E44" s="1">
        <v>10.0</v>
      </c>
      <c r="F44" s="1">
        <v>12.0</v>
      </c>
      <c r="G44" s="1">
        <v>75.0</v>
      </c>
      <c r="H44" s="1">
        <v>50.0</v>
      </c>
      <c r="I44" s="12" t="s">
        <v>266</v>
      </c>
      <c r="J44" s="12" t="s">
        <v>267</v>
      </c>
      <c r="K44" s="12" t="s">
        <v>268</v>
      </c>
      <c r="L44" s="13"/>
    </row>
    <row r="45">
      <c r="D45" s="1">
        <v>31.0</v>
      </c>
      <c r="E45" s="1">
        <v>19.0</v>
      </c>
      <c r="F45" s="1">
        <v>17.0</v>
      </c>
      <c r="G45" s="1">
        <v>35.0</v>
      </c>
      <c r="H45" s="1">
        <v>20.0</v>
      </c>
      <c r="I45" s="12" t="s">
        <v>269</v>
      </c>
      <c r="J45" s="12" t="s">
        <v>270</v>
      </c>
      <c r="K45" s="12" t="s">
        <v>271</v>
      </c>
      <c r="L45" s="13"/>
    </row>
    <row r="46">
      <c r="D46" s="1">
        <v>32.0</v>
      </c>
      <c r="E46" s="1">
        <v>25.0</v>
      </c>
      <c r="F46" s="1">
        <v>21.0</v>
      </c>
      <c r="G46" s="1">
        <v>10.0</v>
      </c>
      <c r="H46" s="1">
        <v>10.0</v>
      </c>
      <c r="I46" s="12" t="s">
        <v>272</v>
      </c>
      <c r="J46" s="12" t="s">
        <v>273</v>
      </c>
      <c r="K46" s="12" t="s">
        <v>274</v>
      </c>
      <c r="L46" s="13"/>
    </row>
    <row r="47">
      <c r="D47" s="1">
        <v>33.0</v>
      </c>
      <c r="E47" s="1">
        <v>20.0</v>
      </c>
      <c r="F47" s="1">
        <v>16.0</v>
      </c>
      <c r="G47" s="1">
        <v>15.0</v>
      </c>
      <c r="H47" s="1">
        <v>15.0</v>
      </c>
      <c r="I47" s="12" t="s">
        <v>128</v>
      </c>
      <c r="J47" s="12" t="s">
        <v>142</v>
      </c>
      <c r="K47" s="12" t="s">
        <v>156</v>
      </c>
      <c r="L47" s="13"/>
    </row>
    <row r="48">
      <c r="D48" s="1">
        <v>34.0</v>
      </c>
      <c r="E48" s="1">
        <v>7.0</v>
      </c>
      <c r="F48" s="1">
        <v>23.0</v>
      </c>
      <c r="G48" s="1">
        <v>120.0</v>
      </c>
      <c r="H48" s="1">
        <v>60.0</v>
      </c>
      <c r="I48" s="12" t="s">
        <v>129</v>
      </c>
      <c r="J48" s="12" t="s">
        <v>143</v>
      </c>
      <c r="K48" s="12" t="s">
        <v>157</v>
      </c>
      <c r="L48" s="13"/>
    </row>
    <row r="49">
      <c r="D49" s="1">
        <v>35.0</v>
      </c>
      <c r="E49" s="1">
        <v>23.0</v>
      </c>
      <c r="F49" s="1">
        <v>20.0</v>
      </c>
      <c r="G49" s="1">
        <v>15.0</v>
      </c>
      <c r="H49" s="1">
        <v>15.0</v>
      </c>
      <c r="I49" s="12" t="s">
        <v>130</v>
      </c>
      <c r="J49" s="12" t="s">
        <v>144</v>
      </c>
      <c r="K49" s="12" t="s">
        <v>158</v>
      </c>
      <c r="L49" s="13"/>
    </row>
    <row r="50">
      <c r="C50" s="1" t="s">
        <v>170</v>
      </c>
      <c r="D50" s="1">
        <v>36.0</v>
      </c>
      <c r="E50" s="1">
        <v>7.0</v>
      </c>
      <c r="F50" s="1">
        <v>20.0</v>
      </c>
      <c r="L50" s="13"/>
    </row>
    <row r="51">
      <c r="D51" s="1">
        <v>37.0</v>
      </c>
      <c r="E51" s="1">
        <v>23.0</v>
      </c>
      <c r="F51" s="1">
        <v>19.0</v>
      </c>
      <c r="G51" s="1">
        <v>10.0</v>
      </c>
      <c r="H51" s="1">
        <v>10.0</v>
      </c>
      <c r="I51" s="12" t="s">
        <v>131</v>
      </c>
      <c r="J51" s="12" t="s">
        <v>145</v>
      </c>
      <c r="K51" s="12" t="s">
        <v>159</v>
      </c>
      <c r="L51" s="13"/>
    </row>
    <row r="52">
      <c r="D52" s="1">
        <v>38.0</v>
      </c>
      <c r="E52" s="1">
        <v>23.0</v>
      </c>
      <c r="F52" s="1">
        <v>6.0</v>
      </c>
      <c r="G52" s="1">
        <v>75.0</v>
      </c>
      <c r="H52" s="1">
        <v>45.0</v>
      </c>
      <c r="I52" s="12" t="s">
        <v>132</v>
      </c>
      <c r="J52" s="12" t="s">
        <v>146</v>
      </c>
      <c r="K52" s="12" t="s">
        <v>160</v>
      </c>
      <c r="L52" s="13"/>
    </row>
    <row r="53">
      <c r="D53" s="1">
        <v>39.0</v>
      </c>
      <c r="E53" s="1">
        <v>27.0</v>
      </c>
      <c r="F53" s="1">
        <v>1.0</v>
      </c>
      <c r="G53" s="1">
        <v>70.0</v>
      </c>
      <c r="H53" s="1">
        <v>65.0</v>
      </c>
      <c r="I53" s="12" t="s">
        <v>133</v>
      </c>
      <c r="J53" s="12" t="s">
        <v>147</v>
      </c>
      <c r="K53" s="12" t="s">
        <v>161</v>
      </c>
      <c r="L53" s="13"/>
    </row>
    <row r="54">
      <c r="D54" s="1">
        <v>40.0</v>
      </c>
      <c r="E54" s="1">
        <v>2.0</v>
      </c>
      <c r="F54" s="14">
        <v>1.0</v>
      </c>
      <c r="G54" s="1">
        <v>50.0</v>
      </c>
      <c r="H54" s="1">
        <v>50.0</v>
      </c>
      <c r="I54" s="12" t="s">
        <v>134</v>
      </c>
      <c r="J54" s="12" t="s">
        <v>148</v>
      </c>
      <c r="K54" s="12" t="s">
        <v>162</v>
      </c>
      <c r="L54" s="13"/>
    </row>
    <row r="55">
      <c r="D55" s="1">
        <v>41.0</v>
      </c>
      <c r="E55" s="1">
        <v>5.0</v>
      </c>
      <c r="F55" s="14">
        <v>3.0</v>
      </c>
      <c r="G55" s="1">
        <v>90.0</v>
      </c>
      <c r="H55" s="1">
        <v>90.0</v>
      </c>
      <c r="I55" s="12" t="s">
        <v>135</v>
      </c>
      <c r="J55" s="12" t="s">
        <v>149</v>
      </c>
      <c r="K55" s="12" t="s">
        <v>163</v>
      </c>
      <c r="L55" s="13"/>
    </row>
    <row r="56">
      <c r="D56" s="1">
        <v>42.0</v>
      </c>
      <c r="E56" s="1">
        <v>5.0</v>
      </c>
      <c r="F56" s="1">
        <v>4.0</v>
      </c>
      <c r="G56" s="1">
        <v>35.0</v>
      </c>
      <c r="H56" s="1">
        <v>20.0</v>
      </c>
      <c r="I56" s="12" t="s">
        <v>136</v>
      </c>
      <c r="J56" s="12" t="s">
        <v>150</v>
      </c>
      <c r="K56" s="12" t="s">
        <v>164</v>
      </c>
      <c r="L56" s="13"/>
    </row>
    <row r="57">
      <c r="D57" s="1">
        <v>43.0</v>
      </c>
      <c r="E57" s="1">
        <v>6.0</v>
      </c>
      <c r="F57" s="1">
        <v>4.0</v>
      </c>
      <c r="G57" s="1">
        <v>60.0</v>
      </c>
      <c r="H57" s="1">
        <v>35.0</v>
      </c>
      <c r="I57" s="12" t="s">
        <v>137</v>
      </c>
      <c r="J57" s="12" t="s">
        <v>151</v>
      </c>
      <c r="K57" s="12" t="s">
        <v>165</v>
      </c>
      <c r="L57" s="13"/>
    </row>
    <row r="58">
      <c r="D58" s="1">
        <v>44.0</v>
      </c>
      <c r="E58" s="1">
        <v>6.0</v>
      </c>
      <c r="F58" s="12">
        <v>5.0</v>
      </c>
      <c r="G58" s="1">
        <v>25.0</v>
      </c>
      <c r="H58" s="1">
        <v>15.0</v>
      </c>
      <c r="I58" s="12" t="s">
        <v>138</v>
      </c>
      <c r="J58" s="12" t="s">
        <v>152</v>
      </c>
      <c r="K58" s="12" t="s">
        <v>166</v>
      </c>
      <c r="L58" s="13"/>
    </row>
    <row r="59">
      <c r="D59" s="1">
        <v>45.0</v>
      </c>
      <c r="E59" s="1">
        <v>2.0</v>
      </c>
      <c r="F59" s="12">
        <v>1.0</v>
      </c>
      <c r="G59" s="1">
        <v>40.0</v>
      </c>
      <c r="H59" s="1">
        <v>40.0</v>
      </c>
      <c r="I59" s="12" t="s">
        <v>139</v>
      </c>
      <c r="J59" s="12" t="s">
        <v>153</v>
      </c>
      <c r="K59" s="12" t="s">
        <v>167</v>
      </c>
      <c r="L59" s="13"/>
    </row>
    <row r="60">
      <c r="D60" s="1">
        <v>46.0</v>
      </c>
      <c r="E60" s="1">
        <v>1.0</v>
      </c>
      <c r="F60" s="12">
        <v>6.0</v>
      </c>
      <c r="G60" s="1">
        <v>105.0</v>
      </c>
      <c r="H60" s="1">
        <v>75.0</v>
      </c>
      <c r="I60" s="12" t="s">
        <v>140</v>
      </c>
      <c r="J60" s="12" t="s">
        <v>154</v>
      </c>
      <c r="K60" s="12" t="s">
        <v>168</v>
      </c>
      <c r="L60" s="13"/>
    </row>
    <row r="61">
      <c r="D61" s="1">
        <v>47.0</v>
      </c>
      <c r="E61" s="1">
        <v>1.0</v>
      </c>
      <c r="F61" s="1">
        <v>26.0</v>
      </c>
      <c r="G61" s="1">
        <v>75.0</v>
      </c>
      <c r="H61" s="1">
        <v>50.0</v>
      </c>
      <c r="I61" s="12" t="s">
        <v>141</v>
      </c>
      <c r="J61" s="12" t="s">
        <v>155</v>
      </c>
      <c r="K61" s="12" t="s">
        <v>169</v>
      </c>
      <c r="L61" s="13"/>
    </row>
    <row r="62">
      <c r="L62" s="13"/>
    </row>
    <row r="63">
      <c r="L63" s="13"/>
    </row>
    <row r="64">
      <c r="L64" s="13"/>
    </row>
    <row r="65">
      <c r="I65" s="1"/>
      <c r="L65" s="13"/>
    </row>
    <row r="66">
      <c r="L66" s="13"/>
    </row>
    <row r="67">
      <c r="L67" s="13"/>
    </row>
    <row r="68">
      <c r="B68" s="1" t="s">
        <v>173</v>
      </c>
      <c r="C68" s="1" t="s">
        <v>174</v>
      </c>
      <c r="D68" s="1" t="s">
        <v>175</v>
      </c>
      <c r="E68" s="1" t="s">
        <v>176</v>
      </c>
      <c r="F68" s="1" t="s">
        <v>177</v>
      </c>
      <c r="G68" s="16" t="s">
        <v>275</v>
      </c>
      <c r="H68" s="16" t="s">
        <v>2</v>
      </c>
      <c r="I68" s="16" t="s">
        <v>3</v>
      </c>
      <c r="J68" s="16" t="s">
        <v>276</v>
      </c>
      <c r="K68" s="16" t="s">
        <v>2</v>
      </c>
      <c r="L68" s="17" t="s">
        <v>3</v>
      </c>
      <c r="M68" s="16" t="s">
        <v>277</v>
      </c>
      <c r="N68" s="16" t="s">
        <v>2</v>
      </c>
      <c r="O68" s="16" t="s">
        <v>3</v>
      </c>
    </row>
    <row r="69">
      <c r="B69" s="1">
        <v>1.0</v>
      </c>
      <c r="C69" s="1">
        <v>28.0</v>
      </c>
      <c r="D69" s="1">
        <v>24.0</v>
      </c>
      <c r="E69" s="1">
        <v>45.0</v>
      </c>
      <c r="F69" s="1">
        <v>45.0</v>
      </c>
      <c r="G69" s="16">
        <v>101.0</v>
      </c>
      <c r="H69" s="18" t="str">
        <f>IFERROR(__xludf.DUMMYFUNCTION("SPLIT(R69,"","")"),"50.797917")</f>
        <v>50.797917</v>
      </c>
      <c r="I69" s="18" t="str">
        <f>IFERROR(__xludf.DUMMYFUNCTION("""COMPUTED_VALUE""")," 15.731305")</f>
        <v> 15.731305</v>
      </c>
      <c r="J69" s="16">
        <v>201.0</v>
      </c>
      <c r="K69" s="18" t="str">
        <f>IFERROR(__xludf.DUMMYFUNCTION("SPLIT(S69,"","")"),"50.793949")</f>
        <v>50.793949</v>
      </c>
      <c r="L69" s="13" t="str">
        <f>IFERROR(__xludf.DUMMYFUNCTION("""COMPUTED_VALUE""")," 15.734660")</f>
        <v> 15.734660</v>
      </c>
      <c r="M69" s="16">
        <v>301.0</v>
      </c>
      <c r="N69" s="18" t="str">
        <f>IFERROR(__xludf.DUMMYFUNCTION("SPLIT(T69,"","")"),"50.785649")</f>
        <v>50.785649</v>
      </c>
      <c r="O69" s="18" t="str">
        <f>IFERROR(__xludf.DUMMYFUNCTION("""COMPUTED_VALUE""")," 15.738438")</f>
        <v> 15.738438</v>
      </c>
      <c r="R69" s="12" t="s">
        <v>179</v>
      </c>
      <c r="S69" s="12" t="s">
        <v>180</v>
      </c>
      <c r="T69" s="12" t="s">
        <v>181</v>
      </c>
    </row>
    <row r="70">
      <c r="B70" s="1">
        <v>2.0</v>
      </c>
      <c r="C70" s="1">
        <v>24.0</v>
      </c>
      <c r="D70" s="11">
        <v>7.0</v>
      </c>
      <c r="E70" s="1">
        <v>15.0</v>
      </c>
      <c r="F70" s="1">
        <v>15.0</v>
      </c>
      <c r="G70" s="16">
        <v>102.0</v>
      </c>
      <c r="H70" s="18" t="str">
        <f>IFERROR(__xludf.DUMMYFUNCTION("SPLIT(R70,"","")"),"50.778618")</f>
        <v>50.778618</v>
      </c>
      <c r="I70" s="18" t="str">
        <f>IFERROR(__xludf.DUMMYFUNCTION("""COMPUTED_VALUE""")," 15.746573")</f>
        <v> 15.746573</v>
      </c>
      <c r="J70" s="16">
        <v>202.0</v>
      </c>
      <c r="K70" s="18" t="str">
        <f>IFERROR(__xludf.DUMMYFUNCTION("SPLIT(S70,"","")"),"50.777370")</f>
        <v>50.777370</v>
      </c>
      <c r="L70" s="13" t="str">
        <f>IFERROR(__xludf.DUMMYFUNCTION("""COMPUTED_VALUE""")," 15.746221")</f>
        <v> 15.746221</v>
      </c>
      <c r="M70" s="16">
        <v>302.0</v>
      </c>
      <c r="N70" s="18" t="str">
        <f>IFERROR(__xludf.DUMMYFUNCTION("SPLIT(T70,"","")"),"50.775418")</f>
        <v>50.775418</v>
      </c>
      <c r="O70" s="18" t="str">
        <f>IFERROR(__xludf.DUMMYFUNCTION("""COMPUTED_VALUE""")," 15.741521")</f>
        <v> 15.741521</v>
      </c>
      <c r="R70" s="12" t="s">
        <v>182</v>
      </c>
      <c r="S70" s="12" t="s">
        <v>183</v>
      </c>
      <c r="T70" s="12" t="s">
        <v>184</v>
      </c>
    </row>
    <row r="71">
      <c r="B71" s="1">
        <v>3.0</v>
      </c>
      <c r="C71" s="1">
        <v>7.0</v>
      </c>
      <c r="D71" s="1">
        <v>22.0</v>
      </c>
      <c r="E71" s="1">
        <v>90.0</v>
      </c>
      <c r="F71" s="1">
        <v>60.0</v>
      </c>
      <c r="G71" s="16">
        <v>103.0</v>
      </c>
      <c r="H71" s="18" t="str">
        <f>IFERROR(__xludf.DUMMYFUNCTION("SPLIT(R71,"","")"),"50.768669")</f>
        <v>50.768669</v>
      </c>
      <c r="I71" s="18" t="str">
        <f>IFERROR(__xludf.DUMMYFUNCTION("""COMPUTED_VALUE""")," 15.739117")</f>
        <v> 15.739117</v>
      </c>
      <c r="J71" s="16">
        <v>203.0</v>
      </c>
      <c r="K71" s="18" t="str">
        <f>IFERROR(__xludf.DUMMYFUNCTION("SPLIT(S71,"","")"),"50.762308")</f>
        <v>50.762308</v>
      </c>
      <c r="L71" s="13" t="str">
        <f>IFERROR(__xludf.DUMMYFUNCTION("""COMPUTED_VALUE""")," 15.741700")</f>
        <v> 15.741700</v>
      </c>
      <c r="M71" s="16">
        <v>303.0</v>
      </c>
      <c r="N71" s="18" t="str">
        <f>IFERROR(__xludf.DUMMYFUNCTION("SPLIT(T71,"","")"),"50.755577")</f>
        <v>50.755577</v>
      </c>
      <c r="O71" s="18" t="str">
        <f>IFERROR(__xludf.DUMMYFUNCTION("""COMPUTED_VALUE""")," 15.749170")</f>
        <v> 15.749170</v>
      </c>
      <c r="R71" s="12" t="s">
        <v>185</v>
      </c>
      <c r="S71" s="12" t="s">
        <v>186</v>
      </c>
      <c r="T71" s="12" t="s">
        <v>187</v>
      </c>
    </row>
    <row r="72">
      <c r="B72" s="1">
        <v>4.0</v>
      </c>
      <c r="C72" s="1">
        <v>22.0</v>
      </c>
      <c r="D72" s="1">
        <v>16.0</v>
      </c>
      <c r="E72" s="1">
        <v>60.0</v>
      </c>
      <c r="F72" s="1">
        <v>60.0</v>
      </c>
      <c r="G72" s="16">
        <v>104.0</v>
      </c>
      <c r="H72" s="18" t="str">
        <f>IFERROR(__xludf.DUMMYFUNCTION("SPLIT(R72,"","")"),"50.746288")</f>
        <v>50.746288</v>
      </c>
      <c r="I72" s="18" t="str">
        <f>IFERROR(__xludf.DUMMYFUNCTION("""COMPUTED_VALUE""")," 15.737583")</f>
        <v> 15.737583</v>
      </c>
      <c r="J72" s="16">
        <v>204.0</v>
      </c>
      <c r="K72" s="18" t="str">
        <f>IFERROR(__xludf.DUMMYFUNCTION("SPLIT(S72,"","")"),"50.742432")</f>
        <v>50.742432</v>
      </c>
      <c r="L72" s="13" t="str">
        <f>IFERROR(__xludf.DUMMYFUNCTION("""COMPUTED_VALUE""")," 15.732431")</f>
        <v> 15.732431</v>
      </c>
      <c r="M72" s="16">
        <v>304.0</v>
      </c>
      <c r="N72" s="18" t="str">
        <f>IFERROR(__xludf.DUMMYFUNCTION("SPLIT(T72,"","")"),"50.740531")</f>
        <v>50.740531</v>
      </c>
      <c r="O72" s="18" t="str">
        <f>IFERROR(__xludf.DUMMYFUNCTION("""COMPUTED_VALUE""")," 15.729598")</f>
        <v> 15.729598</v>
      </c>
      <c r="R72" s="12" t="s">
        <v>188</v>
      </c>
      <c r="S72" s="12" t="s">
        <v>189</v>
      </c>
      <c r="T72" s="12" t="s">
        <v>190</v>
      </c>
    </row>
    <row r="73">
      <c r="B73" s="1">
        <v>5.0</v>
      </c>
      <c r="C73" s="1">
        <v>16.0</v>
      </c>
      <c r="D73" s="1">
        <v>15.0</v>
      </c>
      <c r="E73" s="1">
        <v>30.0</v>
      </c>
      <c r="F73" s="1">
        <v>30.0</v>
      </c>
      <c r="G73" s="16">
        <v>105.0</v>
      </c>
      <c r="H73" s="18" t="str">
        <f>IFERROR(__xludf.DUMMYFUNCTION("SPLIT(R73,"","")"),"50.738043")</f>
        <v>50.738043</v>
      </c>
      <c r="I73" s="18" t="str">
        <f>IFERROR(__xludf.DUMMYFUNCTION("""COMPUTED_VALUE""")," 15.731390")</f>
        <v> 15.731390</v>
      </c>
      <c r="J73" s="16">
        <v>205.0</v>
      </c>
      <c r="K73" s="18" t="str">
        <f>IFERROR(__xludf.DUMMYFUNCTION("SPLIT(S73,"","")"),"50.736756")</f>
        <v>50.736756</v>
      </c>
      <c r="L73" s="13" t="str">
        <f>IFERROR(__xludf.DUMMYFUNCTION("""COMPUTED_VALUE""")," 15.734357")</f>
        <v> 15.734357</v>
      </c>
      <c r="M73" s="16">
        <v>305.0</v>
      </c>
      <c r="N73" s="18" t="str">
        <f>IFERROR(__xludf.DUMMYFUNCTION("SPLIT(T73,"","")"),"50.736511")</f>
        <v>50.736511</v>
      </c>
      <c r="O73" s="18" t="str">
        <f>IFERROR(__xludf.DUMMYFUNCTION("""COMPUTED_VALUE""")," 15.738993")</f>
        <v> 15.738993</v>
      </c>
      <c r="R73" s="12" t="s">
        <v>191</v>
      </c>
      <c r="S73" s="12" t="s">
        <v>192</v>
      </c>
      <c r="T73" s="12" t="s">
        <v>193</v>
      </c>
    </row>
    <row r="74">
      <c r="B74" s="1">
        <v>6.0</v>
      </c>
      <c r="C74" s="1">
        <v>24.0</v>
      </c>
      <c r="D74" s="1">
        <v>25.0</v>
      </c>
      <c r="E74" s="1">
        <v>30.0</v>
      </c>
      <c r="F74" s="1">
        <v>45.0</v>
      </c>
      <c r="G74" s="16">
        <v>106.0</v>
      </c>
      <c r="H74" s="18" t="str">
        <f>IFERROR(__xludf.DUMMYFUNCTION("SPLIT(R74,"","")"),"50.781955")</f>
        <v>50.781955</v>
      </c>
      <c r="I74" s="18" t="str">
        <f>IFERROR(__xludf.DUMMYFUNCTION("""COMPUTED_VALUE""")," 15.753153")</f>
        <v> 15.753153</v>
      </c>
      <c r="J74" s="16">
        <v>206.0</v>
      </c>
      <c r="K74" s="18" t="str">
        <f>IFERROR(__xludf.DUMMYFUNCTION("SPLIT(S74,"","")"),"50.778320")</f>
        <v>50.778320</v>
      </c>
      <c r="L74" s="13" t="str">
        <f>IFERROR(__xludf.DUMMYFUNCTION("""COMPUTED_VALUE""")," 15.754656")</f>
        <v> 15.754656</v>
      </c>
      <c r="M74" s="16">
        <v>306.0</v>
      </c>
      <c r="N74" s="18" t="str">
        <f>IFERROR(__xludf.DUMMYFUNCTION("SPLIT(T74,"","")"),"50.776258")</f>
        <v>50.776258</v>
      </c>
      <c r="O74" s="18" t="str">
        <f>IFERROR(__xludf.DUMMYFUNCTION("""COMPUTED_VALUE""")," 15.758176")</f>
        <v> 15.758176</v>
      </c>
      <c r="R74" s="12" t="s">
        <v>194</v>
      </c>
      <c r="S74" s="12" t="s">
        <v>195</v>
      </c>
      <c r="T74" s="12" t="s">
        <v>196</v>
      </c>
    </row>
    <row r="75">
      <c r="B75" s="1">
        <v>7.0</v>
      </c>
      <c r="C75" s="1">
        <v>25.0</v>
      </c>
      <c r="D75" s="1">
        <v>21.0</v>
      </c>
      <c r="E75" s="1">
        <v>10.0</v>
      </c>
      <c r="F75" s="1">
        <v>10.0</v>
      </c>
      <c r="G75" s="16">
        <v>107.0</v>
      </c>
      <c r="H75" s="18" t="str">
        <f>IFERROR(__xludf.DUMMYFUNCTION("SPLIT(R75,"","")"),"50.781034")</f>
        <v>50.781034</v>
      </c>
      <c r="I75" s="18" t="str">
        <f>IFERROR(__xludf.DUMMYFUNCTION("""COMPUTED_VALUE""")," 15.762725")</f>
        <v> 15.762725</v>
      </c>
      <c r="J75" s="16">
        <v>207.0</v>
      </c>
      <c r="K75" s="18" t="str">
        <f>IFERROR(__xludf.DUMMYFUNCTION("SPLIT(S75,"","")"),"50.778538")</f>
        <v>50.778538</v>
      </c>
      <c r="L75" s="13" t="str">
        <f>IFERROR(__xludf.DUMMYFUNCTION("""COMPUTED_VALUE""")," 15.761995")</f>
        <v> 15.761995</v>
      </c>
      <c r="M75" s="16">
        <v>307.0</v>
      </c>
      <c r="N75" s="18" t="str">
        <f>IFERROR(__xludf.DUMMYFUNCTION("SPLIT(T75,"","")"),"50.775417")</f>
        <v>50.775417</v>
      </c>
      <c r="O75" s="18" t="str">
        <f>IFERROR(__xludf.DUMMYFUNCTION("""COMPUTED_VALUE""")," 15.760579")</f>
        <v> 15.760579</v>
      </c>
      <c r="R75" s="12" t="s">
        <v>197</v>
      </c>
      <c r="S75" s="12" t="s">
        <v>198</v>
      </c>
      <c r="T75" s="12" t="s">
        <v>199</v>
      </c>
    </row>
    <row r="76">
      <c r="B76" s="1">
        <v>8.0</v>
      </c>
      <c r="C76" s="1">
        <v>21.0</v>
      </c>
      <c r="D76" s="1">
        <v>8.0</v>
      </c>
      <c r="E76" s="1">
        <v>20.0</v>
      </c>
      <c r="F76" s="1">
        <v>15.0</v>
      </c>
      <c r="G76" s="16">
        <v>108.0</v>
      </c>
      <c r="H76" s="18" t="str">
        <f>IFERROR(__xludf.DUMMYFUNCTION("SPLIT(R76,"","")"),"50.773651")</f>
        <v>50.773651</v>
      </c>
      <c r="I76" s="18" t="str">
        <f>IFERROR(__xludf.DUMMYFUNCTION("""COMPUTED_VALUE""")," 15.760020")</f>
        <v> 15.760020</v>
      </c>
      <c r="J76" s="16">
        <v>208.0</v>
      </c>
      <c r="K76" s="18" t="str">
        <f>IFERROR(__xludf.DUMMYFUNCTION("SPLIT(S76,"","")"),"50.770395")</f>
        <v>50.770395</v>
      </c>
      <c r="L76" s="13" t="str">
        <f>IFERROR(__xludf.DUMMYFUNCTION("""COMPUTED_VALUE""")," 15.761136")</f>
        <v> 15.761136</v>
      </c>
      <c r="M76" s="16">
        <v>308.0</v>
      </c>
      <c r="N76" s="18" t="str">
        <f>IFERROR(__xludf.DUMMYFUNCTION("SPLIT(T76,"","")"),"50.768089")</f>
        <v>50.768089</v>
      </c>
      <c r="O76" s="18" t="str">
        <f>IFERROR(__xludf.DUMMYFUNCTION("""COMPUTED_VALUE""")," 15.762081")</f>
        <v> 15.762081</v>
      </c>
      <c r="R76" s="12" t="s">
        <v>200</v>
      </c>
      <c r="S76" s="12" t="s">
        <v>201</v>
      </c>
      <c r="T76" s="12" t="s">
        <v>202</v>
      </c>
    </row>
    <row r="77">
      <c r="B77" s="1">
        <v>9.0</v>
      </c>
      <c r="C77" s="1">
        <v>9.0</v>
      </c>
      <c r="D77" s="1">
        <v>22.0</v>
      </c>
      <c r="E77" s="1">
        <v>75.0</v>
      </c>
      <c r="F77" s="1">
        <v>45.0</v>
      </c>
      <c r="G77" s="16">
        <v>109.0</v>
      </c>
      <c r="H77" s="18" t="str">
        <f>IFERROR(__xludf.DUMMYFUNCTION("SPLIT(R77,"","")"),"50.761931")</f>
        <v>50.761931</v>
      </c>
      <c r="I77" s="18" t="str">
        <f>IFERROR(__xludf.DUMMYFUNCTION("""COMPUTED_VALUE""")," 15.761700")</f>
        <v> 15.761700</v>
      </c>
      <c r="J77" s="16">
        <v>209.0</v>
      </c>
      <c r="K77" s="18" t="str">
        <f>IFERROR(__xludf.DUMMYFUNCTION("SPLIT(S77,"","")"),"50.756611")</f>
        <v>50.756611</v>
      </c>
      <c r="L77" s="13" t="str">
        <f>IFERROR(__xludf.DUMMYFUNCTION("""COMPUTED_VALUE""")," 15.757750")</f>
        <v> 15.757750</v>
      </c>
      <c r="M77" s="16">
        <v>309.0</v>
      </c>
      <c r="N77" s="18" t="str">
        <f>IFERROR(__xludf.DUMMYFUNCTION("SPLIT(T77,"","")"),"50.751454")</f>
        <v>50.751454</v>
      </c>
      <c r="O77" s="18" t="str">
        <f>IFERROR(__xludf.DUMMYFUNCTION("""COMPUTED_VALUE""")," 15.749335")</f>
        <v> 15.749335</v>
      </c>
      <c r="R77" s="12" t="s">
        <v>203</v>
      </c>
      <c r="S77" s="12" t="s">
        <v>204</v>
      </c>
      <c r="T77" s="12" t="s">
        <v>205</v>
      </c>
    </row>
    <row r="78">
      <c r="B78" s="1">
        <v>10.0</v>
      </c>
      <c r="C78" s="1">
        <v>2.0</v>
      </c>
      <c r="D78" s="1">
        <v>3.0</v>
      </c>
      <c r="E78" s="11">
        <v>120.0</v>
      </c>
      <c r="F78" s="1">
        <v>70.0</v>
      </c>
      <c r="G78" s="16">
        <v>110.0</v>
      </c>
      <c r="H78" s="18" t="str">
        <f>IFERROR(__xludf.DUMMYFUNCTION("SPLIT(R78,"","")"),"50.800082")</f>
        <v>50.800082</v>
      </c>
      <c r="I78" s="18" t="str">
        <f>IFERROR(__xludf.DUMMYFUNCTION("""COMPUTED_VALUE""")," 15.653304")</f>
        <v> 15.653304</v>
      </c>
      <c r="J78" s="16">
        <v>210.0</v>
      </c>
      <c r="K78" s="18" t="str">
        <f>IFERROR(__xludf.DUMMYFUNCTION("SPLIT(S78,"","")"),"50.787389")</f>
        <v>50.787389</v>
      </c>
      <c r="L78" s="13" t="str">
        <f>IFERROR(__xludf.DUMMYFUNCTION("""COMPUTED_VALUE""")," 15.649183")</f>
        <v> 15.649183</v>
      </c>
      <c r="M78" s="16">
        <v>310.0</v>
      </c>
      <c r="N78" s="18" t="str">
        <f>IFERROR(__xludf.DUMMYFUNCTION("SPLIT(T78,"","")"),"50.772304")</f>
        <v>50.772304</v>
      </c>
      <c r="O78" s="18" t="str">
        <f>IFERROR(__xludf.DUMMYFUNCTION("""COMPUTED_VALUE""")," 15.638879")</f>
        <v> 15.638879</v>
      </c>
      <c r="R78" s="12" t="s">
        <v>206</v>
      </c>
      <c r="S78" s="12" t="s">
        <v>207</v>
      </c>
      <c r="T78" s="12" t="s">
        <v>208</v>
      </c>
    </row>
    <row r="79">
      <c r="B79" s="1">
        <v>11.0</v>
      </c>
      <c r="C79" s="1">
        <v>3.0</v>
      </c>
      <c r="D79" s="1">
        <v>4.0</v>
      </c>
      <c r="E79" s="1">
        <v>60.0</v>
      </c>
      <c r="F79" s="1">
        <v>45.0</v>
      </c>
      <c r="G79" s="16">
        <v>111.0</v>
      </c>
      <c r="H79" s="18" t="str">
        <f>IFERROR(__xludf.DUMMYFUNCTION("SPLIT(R79,"","")"),"50.761557")</f>
        <v>50.761557</v>
      </c>
      <c r="I79" s="18" t="str">
        <f>IFERROR(__xludf.DUMMYFUNCTION("""COMPUTED_VALUE""")," 15.650026")</f>
        <v> 15.650026</v>
      </c>
      <c r="J79" s="16">
        <v>211.0</v>
      </c>
      <c r="K79" s="18" t="str">
        <f>IFERROR(__xludf.DUMMYFUNCTION("SPLIT(S79,"","")"),"50.760580")</f>
        <v>50.760580</v>
      </c>
      <c r="L79" s="13" t="str">
        <f>IFERROR(__xludf.DUMMYFUNCTION("""COMPUTED_VALUE""")," 15.660501")</f>
        <v> 15.660501</v>
      </c>
      <c r="M79" s="16">
        <v>311.0</v>
      </c>
      <c r="N79" s="18" t="str">
        <f>IFERROR(__xludf.DUMMYFUNCTION("SPLIT(T79,"","")"),"50.758408")</f>
        <v>50.758408</v>
      </c>
      <c r="O79" s="18" t="str">
        <f>IFERROR(__xludf.DUMMYFUNCTION("""COMPUTED_VALUE""")," 15.672350")</f>
        <v> 15.672350</v>
      </c>
      <c r="R79" s="12" t="s">
        <v>209</v>
      </c>
      <c r="S79" s="12" t="s">
        <v>210</v>
      </c>
      <c r="T79" s="12" t="s">
        <v>211</v>
      </c>
    </row>
    <row r="80">
      <c r="B80" s="1">
        <v>12.0</v>
      </c>
      <c r="C80" s="1">
        <v>4.0</v>
      </c>
      <c r="D80" s="1">
        <v>17.0</v>
      </c>
      <c r="E80" s="1">
        <v>45.0</v>
      </c>
      <c r="F80" s="1">
        <v>45.0</v>
      </c>
      <c r="G80" s="16">
        <v>112.0</v>
      </c>
      <c r="H80" s="18" t="str">
        <f>IFERROR(__xludf.DUMMYFUNCTION("SPLIT(R80,"","")"),"50.755686")</f>
        <v>50.755686</v>
      </c>
      <c r="I80" s="18" t="str">
        <f>IFERROR(__xludf.DUMMYFUNCTION("""COMPUTED_VALUE""")," 15.691581")</f>
        <v> 15.691581</v>
      </c>
      <c r="J80" s="16">
        <v>212.0</v>
      </c>
      <c r="K80" s="18" t="str">
        <f>IFERROR(__xludf.DUMMYFUNCTION("SPLIT(S80,"","")"),"50.752971")</f>
        <v>50.752971</v>
      </c>
      <c r="L80" s="13" t="str">
        <f>IFERROR(__xludf.DUMMYFUNCTION("""COMPUTED_VALUE""")," 15.694500")</f>
        <v> 15.694500</v>
      </c>
      <c r="M80" s="16">
        <v>312.0</v>
      </c>
      <c r="N80" s="18" t="str">
        <f>IFERROR(__xludf.DUMMYFUNCTION("SPLIT(T80,"","")"),"50.742872")</f>
        <v>50.742872</v>
      </c>
      <c r="O80" s="18" t="str">
        <f>IFERROR(__xludf.DUMMYFUNCTION("""COMPUTED_VALUE""")," 15.697935")</f>
        <v> 15.697935</v>
      </c>
      <c r="R80" s="12" t="s">
        <v>212</v>
      </c>
      <c r="S80" s="12" t="s">
        <v>213</v>
      </c>
      <c r="T80" s="12" t="s">
        <v>214</v>
      </c>
    </row>
    <row r="81">
      <c r="B81" s="1">
        <v>13.0</v>
      </c>
      <c r="C81" s="1">
        <v>26.0</v>
      </c>
      <c r="D81" s="1">
        <v>6.0</v>
      </c>
      <c r="E81" s="1">
        <v>60.0</v>
      </c>
      <c r="F81" s="1">
        <v>40.0</v>
      </c>
      <c r="G81" s="16">
        <v>113.0</v>
      </c>
      <c r="H81" s="18" t="str">
        <f>IFERROR(__xludf.DUMMYFUNCTION("SPLIT(R81,"","")"),"50.776854")</f>
        <v>50.776854</v>
      </c>
      <c r="I81" s="18" t="str">
        <f>IFERROR(__xludf.DUMMYFUNCTION("""COMPUTED_VALUE""")," 15.720675")</f>
        <v> 15.720675</v>
      </c>
      <c r="J81" s="16">
        <v>213.0</v>
      </c>
      <c r="K81" s="18" t="str">
        <f>IFERROR(__xludf.DUMMYFUNCTION("SPLIT(S81,"","")"),"50.773001")</f>
        <v>50.773001</v>
      </c>
      <c r="L81" s="13" t="str">
        <f>IFERROR(__xludf.DUMMYFUNCTION("""COMPUTED_VALUE""")," 15.714836")</f>
        <v> 15.714836</v>
      </c>
      <c r="M81" s="16">
        <v>313.0</v>
      </c>
      <c r="N81" s="18" t="str">
        <f>IFERROR(__xludf.DUMMYFUNCTION("SPLIT(T81,"","")"),"50.767140")</f>
        <v>50.767140</v>
      </c>
      <c r="O81" s="18" t="str">
        <f>IFERROR(__xludf.DUMMYFUNCTION("""COMPUTED_VALUE""")," 15.708911")</f>
        <v> 15.708911</v>
      </c>
      <c r="R81" s="12" t="s">
        <v>215</v>
      </c>
      <c r="S81" s="12" t="s">
        <v>216</v>
      </c>
      <c r="T81" s="12" t="s">
        <v>217</v>
      </c>
    </row>
    <row r="82">
      <c r="B82" s="1">
        <v>14.0</v>
      </c>
      <c r="C82" s="1">
        <v>6.0</v>
      </c>
      <c r="D82" s="1">
        <v>18.0</v>
      </c>
      <c r="E82" s="1">
        <v>40.0</v>
      </c>
      <c r="F82" s="1">
        <v>30.0</v>
      </c>
      <c r="G82" s="16">
        <v>114.0</v>
      </c>
      <c r="H82" s="18" t="str">
        <f>IFERROR(__xludf.DUMMYFUNCTION("SPLIT(R82,"","")"),"50.760841")</f>
        <v>50.760841</v>
      </c>
      <c r="I82" s="18" t="str">
        <f>IFERROR(__xludf.DUMMYFUNCTION("""COMPUTED_VALUE""")," 15.704449")</f>
        <v> 15.704449</v>
      </c>
      <c r="J82" s="16">
        <v>214.0</v>
      </c>
      <c r="K82" s="18" t="str">
        <f>IFERROR(__xludf.DUMMYFUNCTION("SPLIT(S82,"","")"),"50.756335")</f>
        <v>50.756335</v>
      </c>
      <c r="L82" s="13" t="str">
        <f>IFERROR(__xludf.DUMMYFUNCTION("""COMPUTED_VALUE""")," 15.702560")</f>
        <v> 15.702560</v>
      </c>
      <c r="M82" s="16">
        <v>314.0</v>
      </c>
      <c r="N82" s="18" t="str">
        <f>IFERROR(__xludf.DUMMYFUNCTION("SPLIT(T82,"","")"),"50.751395")</f>
        <v>50.751395</v>
      </c>
      <c r="O82" s="18" t="str">
        <f>IFERROR(__xludf.DUMMYFUNCTION("""COMPUTED_VALUE""")," 15.699898")</f>
        <v> 15.699898</v>
      </c>
      <c r="R82" s="12" t="s">
        <v>218</v>
      </c>
      <c r="S82" s="12" t="s">
        <v>219</v>
      </c>
      <c r="T82" s="12" t="s">
        <v>220</v>
      </c>
    </row>
    <row r="83">
      <c r="B83" s="1">
        <v>15.0</v>
      </c>
      <c r="C83" s="1">
        <v>18.0</v>
      </c>
      <c r="D83" s="1">
        <v>19.0</v>
      </c>
      <c r="E83" s="1">
        <v>12.0</v>
      </c>
      <c r="F83" s="1">
        <v>8.0</v>
      </c>
      <c r="G83" s="16">
        <v>115.0</v>
      </c>
      <c r="H83" s="18" t="str">
        <f>IFERROR(__xludf.DUMMYFUNCTION("SPLIT(R83,"","")"),"50.748704")</f>
        <v>50.748704</v>
      </c>
      <c r="I83" s="18" t="str">
        <f>IFERROR(__xludf.DUMMYFUNCTION("""COMPUTED_VALUE""")," 15.703756")</f>
        <v> 15.703756</v>
      </c>
      <c r="J83" s="16">
        <v>215.0</v>
      </c>
      <c r="K83" s="18" t="str">
        <f>IFERROR(__xludf.DUMMYFUNCTION("SPLIT(S83,"","")"),"50.748731")</f>
        <v>50.748731</v>
      </c>
      <c r="L83" s="13" t="str">
        <f>IFERROR(__xludf.DUMMYFUNCTION("""COMPUTED_VALUE""")," 15.705301")</f>
        <v> 15.705301</v>
      </c>
      <c r="M83" s="16">
        <v>315.0</v>
      </c>
      <c r="N83" s="18" t="str">
        <f>IFERROR(__xludf.DUMMYFUNCTION("SPLIT(T83,"","")"),"50.750184")</f>
        <v>50.750184</v>
      </c>
      <c r="O83" s="18" t="str">
        <f>IFERROR(__xludf.DUMMYFUNCTION("""COMPUTED_VALUE""")," 15.707083")</f>
        <v> 15.707083</v>
      </c>
      <c r="R83" s="12" t="s">
        <v>221</v>
      </c>
      <c r="S83" s="12" t="s">
        <v>222</v>
      </c>
      <c r="T83" s="12" t="s">
        <v>223</v>
      </c>
    </row>
    <row r="84">
      <c r="B84" s="1">
        <v>16.0</v>
      </c>
      <c r="C84" s="1">
        <v>17.0</v>
      </c>
      <c r="D84" s="1">
        <v>16.0</v>
      </c>
      <c r="E84" s="1">
        <v>25.0</v>
      </c>
      <c r="F84" s="1">
        <v>25.0</v>
      </c>
      <c r="G84" s="16">
        <v>116.0</v>
      </c>
      <c r="H84" s="18" t="str">
        <f>IFERROR(__xludf.DUMMYFUNCTION("SPLIT(R84,"","")"),"50.741730")</f>
        <v>50.741730</v>
      </c>
      <c r="I84" s="18" t="str">
        <f>IFERROR(__xludf.DUMMYFUNCTION("""COMPUTED_VALUE""")," 15.710714")</f>
        <v> 15.710714</v>
      </c>
      <c r="J84" s="16">
        <v>216.0</v>
      </c>
      <c r="K84" s="18" t="str">
        <f>IFERROR(__xludf.DUMMYFUNCTION("SPLIT(S84,"","")"),"50.741404")</f>
        <v>50.741404</v>
      </c>
      <c r="L84" s="13" t="str">
        <f>IFERROR(__xludf.DUMMYFUNCTION("""COMPUTED_VALUE""")," 15.716810")</f>
        <v> 15.716810</v>
      </c>
      <c r="M84" s="16">
        <v>316.0</v>
      </c>
      <c r="N84" s="18" t="str">
        <f>IFERROR(__xludf.DUMMYFUNCTION("SPLIT(T84,"","")"),"50.740100")</f>
        <v>50.740100</v>
      </c>
      <c r="O84" s="18" t="str">
        <f>IFERROR(__xludf.DUMMYFUNCTION("""COMPUTED_VALUE""")," 15.725482")</f>
        <v> 15.725482</v>
      </c>
      <c r="R84" s="12" t="s">
        <v>224</v>
      </c>
      <c r="S84" s="12" t="s">
        <v>225</v>
      </c>
      <c r="T84" s="12" t="s">
        <v>226</v>
      </c>
    </row>
    <row r="85">
      <c r="B85" s="1">
        <v>17.0</v>
      </c>
      <c r="C85" s="1">
        <v>14.0</v>
      </c>
      <c r="D85" s="1">
        <v>15.0</v>
      </c>
      <c r="E85" s="1">
        <v>105.0</v>
      </c>
      <c r="F85" s="1">
        <v>60.0</v>
      </c>
      <c r="G85" s="16">
        <v>117.0</v>
      </c>
      <c r="H85" s="18" t="str">
        <f>IFERROR(__xludf.DUMMYFUNCTION("SPLIT(R85,"","")"),"50.742655")</f>
        <v>50.742655</v>
      </c>
      <c r="I85" s="18" t="str">
        <f>IFERROR(__xludf.DUMMYFUNCTION("""COMPUTED_VALUE""")," 15.773633")</f>
        <v> 15.773633</v>
      </c>
      <c r="J85" s="16">
        <v>217.0</v>
      </c>
      <c r="K85" s="18" t="str">
        <f>IFERROR(__xludf.DUMMYFUNCTION("SPLIT(S85,"","")"),"50.743741")</f>
        <v>50.743741</v>
      </c>
      <c r="L85" s="13" t="str">
        <f>IFERROR(__xludf.DUMMYFUNCTION("""COMPUTED_VALUE""")," 15.761098")</f>
        <v> 15.761098</v>
      </c>
      <c r="M85" s="16">
        <v>317.0</v>
      </c>
      <c r="N85" s="18" t="str">
        <f>IFERROR(__xludf.DUMMYFUNCTION("SPLIT(T85,"","")"),"50.739722")</f>
        <v>50.739722</v>
      </c>
      <c r="O85" s="18" t="str">
        <f>IFERROR(__xludf.DUMMYFUNCTION("""COMPUTED_VALUE""")," 15.745814")</f>
        <v> 15.745814</v>
      </c>
      <c r="R85" s="12" t="s">
        <v>227</v>
      </c>
      <c r="S85" s="12" t="s">
        <v>228</v>
      </c>
      <c r="T85" s="12" t="s">
        <v>229</v>
      </c>
    </row>
    <row r="86">
      <c r="B86" s="1">
        <v>18.0</v>
      </c>
      <c r="C86" s="1">
        <v>12.0</v>
      </c>
      <c r="D86" s="1">
        <v>14.0</v>
      </c>
      <c r="E86" s="1">
        <v>60.0</v>
      </c>
      <c r="F86" s="1">
        <v>45.0</v>
      </c>
      <c r="G86" s="16">
        <v>118.0</v>
      </c>
      <c r="H86" s="18" t="str">
        <f>IFERROR(__xludf.DUMMYFUNCTION("SPLIT(R86,"","")"),"50.748953")</f>
        <v>50.748953</v>
      </c>
      <c r="I86" s="18" t="str">
        <f>IFERROR(__xludf.DUMMYFUNCTION("""COMPUTED_VALUE""")," 15.813629")</f>
        <v> 15.813629</v>
      </c>
      <c r="J86" s="16">
        <v>218.0</v>
      </c>
      <c r="K86" s="18" t="str">
        <f>IFERROR(__xludf.DUMMYFUNCTION("SPLIT(S86,"","")"),"50.749388")</f>
        <v>50.749388</v>
      </c>
      <c r="L86" s="13" t="str">
        <f>IFERROR(__xludf.DUMMYFUNCTION("""COMPUTED_VALUE""")," 15.805386")</f>
        <v> 15.805386</v>
      </c>
      <c r="M86" s="16">
        <v>318.0</v>
      </c>
      <c r="N86" s="18" t="str">
        <f>IFERROR(__xludf.DUMMYFUNCTION("SPLIT(T86,"","")"),"50.748193")</f>
        <v>50.748193</v>
      </c>
      <c r="O86" s="18" t="str">
        <f>IFERROR(__xludf.DUMMYFUNCTION("""COMPUTED_VALUE""")," 15.792679")</f>
        <v> 15.792679</v>
      </c>
      <c r="R86" s="12" t="s">
        <v>230</v>
      </c>
      <c r="S86" s="12" t="s">
        <v>231</v>
      </c>
      <c r="T86" s="12" t="s">
        <v>232</v>
      </c>
    </row>
    <row r="87">
      <c r="B87" s="1">
        <v>19.0</v>
      </c>
      <c r="C87" s="1">
        <v>13.0</v>
      </c>
      <c r="D87" s="1">
        <v>12.0</v>
      </c>
      <c r="E87" s="1">
        <v>45.0</v>
      </c>
      <c r="F87" s="1">
        <v>60.0</v>
      </c>
      <c r="G87" s="16">
        <v>119.0</v>
      </c>
      <c r="H87" s="18" t="str">
        <f>IFERROR(__xludf.DUMMYFUNCTION("SPLIT(T87,"","")"),"50.752860")</f>
        <v>50.752860</v>
      </c>
      <c r="I87" s="18" t="str">
        <f>IFERROR(__xludf.DUMMYFUNCTION("""COMPUTED_VALUE""")," 15.796884")</f>
        <v> 15.796884</v>
      </c>
      <c r="J87" s="16">
        <v>219.0</v>
      </c>
      <c r="K87" s="18" t="str">
        <f>IFERROR(__xludf.DUMMYFUNCTION("SPLIT(S87,"","")"),"50.754380")</f>
        <v>50.754380</v>
      </c>
      <c r="L87" s="13" t="str">
        <f>IFERROR(__xludf.DUMMYFUNCTION("""COMPUTED_VALUE""")," 15.807703")</f>
        <v> 15.807703</v>
      </c>
      <c r="M87" s="16">
        <v>319.0</v>
      </c>
      <c r="N87" s="1" t="s">
        <v>278</v>
      </c>
      <c r="O87" s="1" t="s">
        <v>279</v>
      </c>
      <c r="R87" s="12" t="s">
        <v>235</v>
      </c>
      <c r="S87" s="15" t="s">
        <v>280</v>
      </c>
      <c r="T87" s="12" t="s">
        <v>233</v>
      </c>
    </row>
    <row r="88">
      <c r="B88" s="1">
        <v>20.0</v>
      </c>
      <c r="C88" s="1">
        <v>10.0</v>
      </c>
      <c r="D88" s="1">
        <v>13.0</v>
      </c>
      <c r="E88" s="1">
        <v>60.0</v>
      </c>
      <c r="F88" s="1">
        <v>30.0</v>
      </c>
      <c r="G88" s="16">
        <v>120.0</v>
      </c>
      <c r="H88" s="18" t="str">
        <f>IFERROR(__xludf.DUMMYFUNCTION("SPLIT(R88,"","")"),"50.760053")</f>
        <v>50.760053</v>
      </c>
      <c r="I88" s="18" t="str">
        <f>IFERROR(__xludf.DUMMYFUNCTION("""COMPUTED_VALUE""")," 15.800491")</f>
        <v> 15.800491</v>
      </c>
      <c r="J88" s="16">
        <v>220.0</v>
      </c>
      <c r="K88" s="18" t="str">
        <f>IFERROR(__xludf.DUMMYFUNCTION("SPLIT(S88,"","")"),"50.756932")</f>
        <v>50.756932</v>
      </c>
      <c r="L88" s="13" t="str">
        <f>IFERROR(__xludf.DUMMYFUNCTION("""COMPUTED_VALUE""")," 15.799890")</f>
        <v> 15.799890</v>
      </c>
      <c r="M88" s="16">
        <v>320.0</v>
      </c>
      <c r="N88" s="18" t="str">
        <f>IFERROR(__xludf.DUMMYFUNCTION("SPLIT(T88,"","")"),"50.754896")</f>
        <v>50.754896</v>
      </c>
      <c r="O88" s="18" t="str">
        <f>IFERROR(__xludf.DUMMYFUNCTION("""COMPUTED_VALUE""")," 15.796713")</f>
        <v> 15.796713</v>
      </c>
      <c r="R88" s="12" t="s">
        <v>236</v>
      </c>
      <c r="S88" s="12" t="s">
        <v>237</v>
      </c>
      <c r="T88" s="12" t="s">
        <v>238</v>
      </c>
    </row>
    <row r="89">
      <c r="B89" s="1">
        <v>21.0</v>
      </c>
      <c r="C89" s="1">
        <v>11.0</v>
      </c>
      <c r="D89" s="1">
        <v>10.0</v>
      </c>
      <c r="E89" s="1">
        <v>60.0</v>
      </c>
      <c r="F89" s="1">
        <v>35.0</v>
      </c>
      <c r="G89" s="16">
        <v>121.0</v>
      </c>
      <c r="H89" s="18" t="str">
        <f>IFERROR(__xludf.DUMMYFUNCTION("SPLIT(R89,"","")"),"50.777670")</f>
        <v>50.777670</v>
      </c>
      <c r="I89" s="18" t="str">
        <f>IFERROR(__xludf.DUMMYFUNCTION("""COMPUTED_VALUE""")," 15.807531")</f>
        <v> 15.807531</v>
      </c>
      <c r="J89" s="16">
        <v>221.0</v>
      </c>
      <c r="K89" s="18" t="str">
        <f>IFERROR(__xludf.DUMMYFUNCTION("SPLIT(S89,"","")"),"50.774359")</f>
        <v>50.774359</v>
      </c>
      <c r="L89" s="13" t="str">
        <f>IFERROR(__xludf.DUMMYFUNCTION("""COMPUTED_VALUE""")," 15.802465")</f>
        <v> 15.802465</v>
      </c>
      <c r="M89" s="16">
        <v>321.0</v>
      </c>
      <c r="N89" s="18" t="str">
        <f>IFERROR(__xludf.DUMMYFUNCTION("SPLIT(T89,"","")"),"50.767467")</f>
        <v>50.767467</v>
      </c>
      <c r="O89" s="18" t="str">
        <f>IFERROR(__xludf.DUMMYFUNCTION("""COMPUTED_VALUE""")," 15.801263")</f>
        <v> 15.801263</v>
      </c>
      <c r="R89" s="12" t="s">
        <v>239</v>
      </c>
      <c r="S89" s="12" t="s">
        <v>240</v>
      </c>
      <c r="T89" s="12" t="s">
        <v>241</v>
      </c>
    </row>
    <row r="90">
      <c r="B90" s="1">
        <v>22.0</v>
      </c>
      <c r="C90" s="1">
        <v>11.0</v>
      </c>
      <c r="D90" s="1">
        <v>21.0</v>
      </c>
      <c r="E90" s="1">
        <v>90.0</v>
      </c>
      <c r="F90" s="1">
        <v>90.0</v>
      </c>
      <c r="G90" s="16">
        <v>122.0</v>
      </c>
      <c r="H90" s="18" t="str">
        <f>IFERROR(__xludf.DUMMYFUNCTION("SPLIT(R90,"","")"),"50.784022")</f>
        <v>50.784022</v>
      </c>
      <c r="I90" s="18" t="str">
        <f>IFERROR(__xludf.DUMMYFUNCTION("""COMPUTED_VALUE""")," 15.793536")</f>
        <v> 15.793536</v>
      </c>
      <c r="J90" s="16">
        <v>222.0</v>
      </c>
      <c r="K90" s="18" t="str">
        <f>IFERROR(__xludf.DUMMYFUNCTION("SPLIT(S90,"","")"),"50.776209")</f>
        <v>50.776209</v>
      </c>
      <c r="L90" s="13" t="str">
        <f>IFERROR(__xludf.DUMMYFUNCTION("""COMPUTED_VALUE""")," 15.783404")</f>
        <v> 15.783404</v>
      </c>
      <c r="M90" s="16">
        <v>322.0</v>
      </c>
      <c r="N90" s="18" t="str">
        <f>IFERROR(__xludf.DUMMYFUNCTION("SPLIT(T90,"","")"),"50.771650")</f>
        <v>50.771650</v>
      </c>
      <c r="O90" s="18" t="str">
        <f>IFERROR(__xludf.DUMMYFUNCTION("""COMPUTED_VALUE""")," 15.763828")</f>
        <v> 15.763828</v>
      </c>
      <c r="R90" s="12" t="s">
        <v>242</v>
      </c>
      <c r="S90" s="12" t="s">
        <v>243</v>
      </c>
      <c r="T90" s="12" t="s">
        <v>244</v>
      </c>
    </row>
    <row r="91">
      <c r="B91" s="1">
        <v>23.0</v>
      </c>
      <c r="C91" s="1">
        <v>21.0</v>
      </c>
      <c r="D91" s="1">
        <v>9.0</v>
      </c>
      <c r="E91" s="1">
        <v>35.0</v>
      </c>
      <c r="F91" s="1">
        <v>25.0</v>
      </c>
      <c r="G91" s="16">
        <v>123.0</v>
      </c>
      <c r="H91" s="18" t="str">
        <f>IFERROR(__xludf.DUMMYFUNCTION("SPLIT(R91,"","")"),"50.778103")</f>
        <v>50.778103</v>
      </c>
      <c r="I91" s="18" t="str">
        <f>IFERROR(__xludf.DUMMYFUNCTION("""COMPUTED_VALUE""")," 15.761010")</f>
        <v> 15.761010</v>
      </c>
      <c r="J91" s="16">
        <v>223.0</v>
      </c>
      <c r="K91" s="18" t="str">
        <f>IFERROR(__xludf.DUMMYFUNCTION("SPLIT(S91,"","")"),"50.773816")</f>
        <v>50.773816</v>
      </c>
      <c r="L91" s="13" t="str">
        <f>IFERROR(__xludf.DUMMYFUNCTION("""COMPUTED_VALUE""")," 15.760237")</f>
        <v> 15.760237</v>
      </c>
      <c r="M91" s="16">
        <v>323.0</v>
      </c>
      <c r="N91" s="18" t="str">
        <f>IFERROR(__xludf.DUMMYFUNCTION("SPLIT(T91,"","")"),"50.767629")</f>
        <v>50.767629</v>
      </c>
      <c r="O91" s="18" t="str">
        <f>IFERROR(__xludf.DUMMYFUNCTION("""COMPUTED_VALUE""")," 15.768995")</f>
        <v> 15.768995</v>
      </c>
      <c r="R91" s="12" t="s">
        <v>245</v>
      </c>
      <c r="S91" s="12" t="s">
        <v>246</v>
      </c>
      <c r="T91" s="12" t="s">
        <v>247</v>
      </c>
    </row>
    <row r="92">
      <c r="B92" s="1">
        <v>24.0</v>
      </c>
      <c r="C92" s="1">
        <v>9.0</v>
      </c>
      <c r="D92" s="1">
        <v>14.0</v>
      </c>
      <c r="E92" s="1">
        <v>75.0</v>
      </c>
      <c r="F92" s="1">
        <v>45.0</v>
      </c>
      <c r="G92" s="16">
        <v>124.0</v>
      </c>
      <c r="H92" s="18" t="str">
        <f>IFERROR(__xludf.DUMMYFUNCTION("SPLIT(R92,"","")"),"50.755575")</f>
        <v>50.755575</v>
      </c>
      <c r="I92" s="18" t="str">
        <f>IFERROR(__xludf.DUMMYFUNCTION("""COMPUTED_VALUE""")," 15.771739")</f>
        <v> 15.771739</v>
      </c>
      <c r="J92" s="16">
        <v>224.0</v>
      </c>
      <c r="K92" s="18" t="str">
        <f>IFERROR(__xludf.DUMMYFUNCTION("SPLIT(S92,"","")"),"50.752366")</f>
        <v>50.752366</v>
      </c>
      <c r="L92" s="13" t="str">
        <f>IFERROR(__xludf.DUMMYFUNCTION("""COMPUTED_VALUE""")," 15.779554")</f>
        <v> 15.779554</v>
      </c>
      <c r="M92" s="16">
        <v>324.0</v>
      </c>
      <c r="N92" s="18" t="str">
        <f>IFERROR(__xludf.DUMMYFUNCTION("SPLIT(T92,"","")"),"50.747540")</f>
        <v>50.747540</v>
      </c>
      <c r="O92" s="18" t="str">
        <f>IFERROR(__xludf.DUMMYFUNCTION("""COMPUTED_VALUE""")," 15.784788")</f>
        <v> 15.784788</v>
      </c>
      <c r="R92" s="12" t="s">
        <v>248</v>
      </c>
      <c r="S92" s="12" t="s">
        <v>249</v>
      </c>
      <c r="T92" s="12" t="s">
        <v>250</v>
      </c>
    </row>
    <row r="93">
      <c r="B93" s="1">
        <v>25.0</v>
      </c>
      <c r="C93" s="1">
        <v>26.0</v>
      </c>
      <c r="D93" s="1">
        <v>7.0</v>
      </c>
      <c r="E93" s="1">
        <v>30.0</v>
      </c>
      <c r="F93" s="1">
        <v>15.0</v>
      </c>
      <c r="G93" s="16">
        <v>125.0</v>
      </c>
      <c r="H93" s="18" t="str">
        <f>IFERROR(__xludf.DUMMYFUNCTION("SPLIT(R93,"","")"),"50.777044")</f>
        <v>50.777044</v>
      </c>
      <c r="I93" s="18" t="str">
        <f>IFERROR(__xludf.DUMMYFUNCTION("""COMPUTED_VALUE""")," 15.726545")</f>
        <v> 15.726545</v>
      </c>
      <c r="J93" s="16">
        <v>225.0</v>
      </c>
      <c r="K93" s="18" t="str">
        <f>IFERROR(__xludf.DUMMYFUNCTION("SPLIT(S93,"","")"),"50.774739")</f>
        <v>50.774739</v>
      </c>
      <c r="L93" s="13" t="str">
        <f>IFERROR(__xludf.DUMMYFUNCTION("""COMPUTED_VALUE""")," 15.729596")</f>
        <v> 15.729596</v>
      </c>
      <c r="M93" s="16">
        <v>325.0</v>
      </c>
      <c r="N93" s="18" t="str">
        <f>IFERROR(__xludf.DUMMYFUNCTION("SPLIT(T93,"","")"),"50.774359")</f>
        <v>50.774359</v>
      </c>
      <c r="O93" s="18" t="str">
        <f>IFERROR(__xludf.DUMMYFUNCTION("""COMPUTED_VALUE""")," 15.736723")</f>
        <v> 15.736723</v>
      </c>
      <c r="R93" s="12" t="s">
        <v>251</v>
      </c>
      <c r="S93" s="12" t="s">
        <v>252</v>
      </c>
      <c r="T93" s="12" t="s">
        <v>253</v>
      </c>
    </row>
    <row r="94">
      <c r="B94" s="1">
        <v>26.0</v>
      </c>
      <c r="C94" s="1">
        <v>24.0</v>
      </c>
      <c r="D94" s="1">
        <v>26.0</v>
      </c>
      <c r="E94" s="1">
        <v>30.0</v>
      </c>
      <c r="F94" s="1">
        <v>15.0</v>
      </c>
      <c r="G94" s="16">
        <v>126.0</v>
      </c>
      <c r="H94" s="18" t="str">
        <f>IFERROR(__xludf.DUMMYFUNCTION("SPLIT(R94,"","")"),"50.781631")</f>
        <v>50.781631</v>
      </c>
      <c r="I94" s="18" t="str">
        <f>IFERROR(__xludf.DUMMYFUNCTION("""COMPUTED_VALUE""")," 15.738949")</f>
        <v> 15.738949</v>
      </c>
      <c r="J94" s="16">
        <v>226.0</v>
      </c>
      <c r="K94" s="18" t="str">
        <f>IFERROR(__xludf.DUMMYFUNCTION("SPLIT(S94,"","")"),"50.780003")</f>
        <v>50.780003</v>
      </c>
      <c r="L94" s="13" t="str">
        <f>IFERROR(__xludf.DUMMYFUNCTION("""COMPUTED_VALUE""")," 15.731827")</f>
        <v> 15.731827</v>
      </c>
      <c r="M94" s="16">
        <v>326.0</v>
      </c>
      <c r="N94" s="18" t="str">
        <f>IFERROR(__xludf.DUMMYFUNCTION("SPLIT(T94,"","")"),"50.779081")</f>
        <v>50.779081</v>
      </c>
      <c r="O94" s="18" t="str">
        <f>IFERROR(__xludf.DUMMYFUNCTION("""COMPUTED_VALUE""")," 15.726332")</f>
        <v> 15.726332</v>
      </c>
      <c r="R94" s="15" t="s">
        <v>281</v>
      </c>
      <c r="S94" s="12" t="s">
        <v>255</v>
      </c>
      <c r="T94" s="12" t="s">
        <v>256</v>
      </c>
    </row>
    <row r="95">
      <c r="B95" s="1">
        <v>27.0</v>
      </c>
      <c r="C95" s="1">
        <v>8.0</v>
      </c>
      <c r="D95" s="1">
        <v>7.0</v>
      </c>
      <c r="E95" s="1">
        <v>30.0</v>
      </c>
      <c r="F95" s="1">
        <v>30.0</v>
      </c>
      <c r="G95" s="16">
        <v>127.0</v>
      </c>
      <c r="H95" s="18" t="str">
        <f>IFERROR(__xludf.DUMMYFUNCTION("SPLIT(R95,"","")"),"50.765730")</f>
        <v>50.765730</v>
      </c>
      <c r="I95" s="18" t="str">
        <f>IFERROR(__xludf.DUMMYFUNCTION("""COMPUTED_VALUE""")," 15.753122")</f>
        <v> 15.753122</v>
      </c>
      <c r="J95" s="16">
        <v>227.0</v>
      </c>
      <c r="K95" s="18" t="str">
        <f>IFERROR(__xludf.DUMMYFUNCTION("SPLIT(S95,"","")"),"50.769367")</f>
        <v>50.769367</v>
      </c>
      <c r="L95" s="13" t="str">
        <f>IFERROR(__xludf.DUMMYFUNCTION("""COMPUTED_VALUE""")," 15.749258")</f>
        <v> 15.749258</v>
      </c>
      <c r="M95" s="16">
        <v>327.0</v>
      </c>
      <c r="N95" s="18" t="str">
        <f>IFERROR(__xludf.DUMMYFUNCTION("SPLIT(T95,"","")"),"50.771972")</f>
        <v>50.771972</v>
      </c>
      <c r="O95" s="18" t="str">
        <f>IFERROR(__xludf.DUMMYFUNCTION("""COMPUTED_VALUE""")," 15.744536")</f>
        <v> 15.744536</v>
      </c>
      <c r="R95" s="12" t="s">
        <v>257</v>
      </c>
      <c r="S95" s="12" t="s">
        <v>258</v>
      </c>
      <c r="T95" s="12" t="s">
        <v>259</v>
      </c>
    </row>
    <row r="96">
      <c r="B96" s="1">
        <v>28.0</v>
      </c>
      <c r="C96" s="1">
        <v>9.0</v>
      </c>
      <c r="D96" s="1">
        <v>8.0</v>
      </c>
      <c r="E96" s="1">
        <v>15.0</v>
      </c>
      <c r="F96" s="1">
        <v>15.0</v>
      </c>
      <c r="G96" s="16">
        <v>128.0</v>
      </c>
      <c r="H96" s="18" t="str">
        <f>IFERROR(__xludf.DUMMYFUNCTION("SPLIT(R96,"","")"),"50.761520")</f>
        <v>50.761520</v>
      </c>
      <c r="I96" s="18" t="str">
        <f>IFERROR(__xludf.DUMMYFUNCTION("""COMPUTED_VALUE""")," 15.766546")</f>
        <v> 15.766546</v>
      </c>
      <c r="J96" s="16">
        <v>228.0</v>
      </c>
      <c r="K96" s="18" t="str">
        <f>IFERROR(__xludf.DUMMYFUNCTION("SPLIT(S96,"","")"),"50.761764")</f>
        <v>50.761764</v>
      </c>
      <c r="L96" s="13" t="str">
        <f>IFERROR(__xludf.DUMMYFUNCTION("""COMPUTED_VALUE""")," 15.764528")</f>
        <v> 15.764528</v>
      </c>
      <c r="M96" s="16">
        <v>328.0</v>
      </c>
      <c r="N96" s="18" t="str">
        <f>IFERROR(__xludf.DUMMYFUNCTION("SPLIT(T96,"","")"),"50.764343")</f>
        <v>50.764343</v>
      </c>
      <c r="O96" s="18" t="str">
        <f>IFERROR(__xludf.DUMMYFUNCTION("""COMPUTED_VALUE""")," 15.761823")</f>
        <v> 15.761823</v>
      </c>
      <c r="R96" s="12" t="s">
        <v>260</v>
      </c>
      <c r="S96" s="12" t="s">
        <v>261</v>
      </c>
      <c r="T96" s="12" t="s">
        <v>262</v>
      </c>
    </row>
    <row r="97">
      <c r="B97" s="1">
        <v>29.0</v>
      </c>
      <c r="C97" s="1">
        <v>9.0</v>
      </c>
      <c r="D97" s="1">
        <v>10.0</v>
      </c>
      <c r="E97" s="1">
        <v>50.0</v>
      </c>
      <c r="F97" s="1">
        <v>60.0</v>
      </c>
      <c r="G97" s="16">
        <v>129.0</v>
      </c>
      <c r="H97" s="18" t="str">
        <f>IFERROR(__xludf.DUMMYFUNCTION("SPLIT(R97,"","")"),"50.763614")</f>
        <v>50.763614</v>
      </c>
      <c r="I97" s="18" t="str">
        <f>IFERROR(__xludf.DUMMYFUNCTION("""COMPUTED_VALUE""")," 15.772962")</f>
        <v> 15.772962</v>
      </c>
      <c r="J97" s="16">
        <v>229.0</v>
      </c>
      <c r="K97" s="18" t="str">
        <f>IFERROR(__xludf.DUMMYFUNCTION("SPLIT(S97,"","")"),"50.766219")</f>
        <v>50.766219</v>
      </c>
      <c r="L97" s="13" t="str">
        <f>IFERROR(__xludf.DUMMYFUNCTION("""COMPUTED_VALUE""")," 15.788588")</f>
        <v> 15.788588</v>
      </c>
      <c r="M97" s="16">
        <v>329.0</v>
      </c>
      <c r="N97" s="18" t="str">
        <f>IFERROR(__xludf.DUMMYFUNCTION("SPLIT(T97,"","")"),"50.763179")</f>
        <v>50.763179</v>
      </c>
      <c r="O97" s="18" t="str">
        <f>IFERROR(__xludf.DUMMYFUNCTION("""COMPUTED_VALUE""")," 15.796144")</f>
        <v> 15.796144</v>
      </c>
      <c r="R97" s="12" t="s">
        <v>263</v>
      </c>
      <c r="S97" s="12" t="s">
        <v>264</v>
      </c>
      <c r="T97" s="12" t="s">
        <v>265</v>
      </c>
    </row>
    <row r="98">
      <c r="B98" s="1">
        <v>30.0</v>
      </c>
      <c r="C98" s="1">
        <v>10.0</v>
      </c>
      <c r="D98" s="1">
        <v>12.0</v>
      </c>
      <c r="E98" s="1">
        <v>75.0</v>
      </c>
      <c r="F98" s="1">
        <v>50.0</v>
      </c>
      <c r="G98" s="16">
        <v>130.0</v>
      </c>
      <c r="H98" s="18" t="str">
        <f>IFERROR(__xludf.DUMMYFUNCTION("SPLIT(R98,"","")"),"50.763719")</f>
        <v>50.763719</v>
      </c>
      <c r="I98" s="18" t="str">
        <f>IFERROR(__xludf.DUMMYFUNCTION("""COMPUTED_VALUE""")," 15.809848")</f>
        <v> 15.809848</v>
      </c>
      <c r="J98" s="16">
        <v>230.0</v>
      </c>
      <c r="K98" s="18" t="str">
        <f>IFERROR(__xludf.DUMMYFUNCTION("SPLIT(S98,"","")"),"50.759482")</f>
        <v>50.759482</v>
      </c>
      <c r="L98" s="13" t="str">
        <f>IFERROR(__xludf.DUMMYFUNCTION("""COMPUTED_VALUE""")," 15.818688")</f>
        <v> 15.818688</v>
      </c>
      <c r="M98" s="16">
        <v>330.0</v>
      </c>
      <c r="N98" s="18" t="str">
        <f>IFERROR(__xludf.DUMMYFUNCTION("SPLIT(T98,"","")"),"50.753782")</f>
        <v>50.753782</v>
      </c>
      <c r="O98" s="18" t="str">
        <f>IFERROR(__xludf.DUMMYFUNCTION("""COMPUTED_VALUE""")," 15.824269")</f>
        <v> 15.824269</v>
      </c>
      <c r="R98" s="12" t="s">
        <v>266</v>
      </c>
      <c r="S98" s="12" t="s">
        <v>267</v>
      </c>
      <c r="T98" s="12" t="s">
        <v>268</v>
      </c>
    </row>
    <row r="99">
      <c r="B99" s="1">
        <v>31.0</v>
      </c>
      <c r="C99" s="1">
        <v>19.0</v>
      </c>
      <c r="D99" s="1">
        <v>17.0</v>
      </c>
      <c r="E99" s="1">
        <v>35.0</v>
      </c>
      <c r="F99" s="1">
        <v>20.0</v>
      </c>
      <c r="G99" s="16">
        <v>131.0</v>
      </c>
      <c r="H99" s="18" t="str">
        <f>IFERROR(__xludf.DUMMYFUNCTION("SPLIT(R99,"","")"),"50.748487")</f>
        <v>50.748487</v>
      </c>
      <c r="I99" s="18" t="str">
        <f>IFERROR(__xludf.DUMMYFUNCTION("""COMPUTED_VALUE""")," 15.709681")</f>
        <v> 15.709681</v>
      </c>
      <c r="J99" s="16">
        <v>231.0</v>
      </c>
      <c r="K99" s="18" t="str">
        <f>IFERROR(__xludf.DUMMYFUNCTION("SPLIT(S99,"","")"),"50.746315")</f>
        <v>50.746315</v>
      </c>
      <c r="L99" s="13" t="str">
        <f>IFERROR(__xludf.DUMMYFUNCTION("""COMPUTED_VALUE""")," 15.706762")</f>
        <v> 15.706762</v>
      </c>
      <c r="M99" s="16">
        <v>331.0</v>
      </c>
      <c r="N99" s="18" t="str">
        <f>IFERROR(__xludf.DUMMYFUNCTION("SPLIT(T99,"","")"),"50.743681")</f>
        <v>50.743681</v>
      </c>
      <c r="O99" s="18" t="str">
        <f>IFERROR(__xludf.DUMMYFUNCTION("""COMPUTED_VALUE""")," 15.705087")</f>
        <v> 15.705087</v>
      </c>
      <c r="R99" s="12" t="s">
        <v>269</v>
      </c>
      <c r="S99" s="12" t="s">
        <v>270</v>
      </c>
      <c r="T99" s="12" t="s">
        <v>271</v>
      </c>
    </row>
    <row r="100">
      <c r="B100" s="1">
        <v>32.0</v>
      </c>
      <c r="C100" s="1">
        <v>25.0</v>
      </c>
      <c r="D100" s="1">
        <v>21.0</v>
      </c>
      <c r="E100" s="1">
        <v>10.0</v>
      </c>
      <c r="F100" s="1">
        <v>10.0</v>
      </c>
      <c r="G100" s="16">
        <v>132.0</v>
      </c>
      <c r="H100" s="18" t="str">
        <f>IFERROR(__xludf.DUMMYFUNCTION("SPLIT(R100,"","")"),"50.776745")</f>
        <v>50.776745</v>
      </c>
      <c r="I100" s="18" t="str">
        <f>IFERROR(__xludf.DUMMYFUNCTION("""COMPUTED_VALUE""")," 15.760707")</f>
        <v> 15.760707</v>
      </c>
      <c r="J100" s="16">
        <v>232.0</v>
      </c>
      <c r="K100" s="18" t="str">
        <f>IFERROR(__xludf.DUMMYFUNCTION("SPLIT(S100,"","")"),"50.778509")</f>
        <v>50.778509</v>
      </c>
      <c r="L100" s="13" t="str">
        <f>IFERROR(__xludf.DUMMYFUNCTION("""COMPUTED_VALUE""")," 15.761824")</f>
        <v> 15.761824</v>
      </c>
      <c r="M100" s="16">
        <v>332.0</v>
      </c>
      <c r="N100" s="18" t="str">
        <f>IFERROR(__xludf.DUMMYFUNCTION("SPLIT(T100,"","")"),"50.782063")</f>
        <v>50.782063</v>
      </c>
      <c r="O100" s="18" t="str">
        <f>IFERROR(__xludf.DUMMYFUNCTION("""COMPUTED_VALUE""")," 15.762124")</f>
        <v> 15.762124</v>
      </c>
      <c r="R100" s="12" t="s">
        <v>272</v>
      </c>
      <c r="S100" s="12" t="s">
        <v>273</v>
      </c>
      <c r="T100" s="12" t="s">
        <v>274</v>
      </c>
    </row>
    <row r="101">
      <c r="B101" s="1">
        <v>33.0</v>
      </c>
      <c r="C101" s="1">
        <v>20.0</v>
      </c>
      <c r="D101" s="1">
        <v>16.0</v>
      </c>
      <c r="E101" s="1">
        <v>15.0</v>
      </c>
      <c r="F101" s="1">
        <v>15.0</v>
      </c>
      <c r="G101" s="16">
        <v>133.0</v>
      </c>
      <c r="H101" s="18" t="str">
        <f>IFERROR(__xludf.DUMMYFUNCTION("SPLIT(R101,"","")"),"50.744664")</f>
        <v>50.744664</v>
      </c>
      <c r="I101" s="18" t="str">
        <f>IFERROR(__xludf.DUMMYFUNCTION("""COMPUTED_VALUE""")," 15.724790")</f>
        <v> 15.724790</v>
      </c>
      <c r="J101" s="16">
        <v>233.0</v>
      </c>
      <c r="K101" s="18" t="str">
        <f>IFERROR(__xludf.DUMMYFUNCTION("SPLIT(S101,"","")"),"50.742274")</f>
        <v>50.742274</v>
      </c>
      <c r="L101" s="13" t="str">
        <f>IFERROR(__xludf.DUMMYFUNCTION("""COMPUTED_VALUE""")," 15.724361")</f>
        <v> 15.724361</v>
      </c>
      <c r="M101" s="16">
        <v>333.0</v>
      </c>
      <c r="N101" s="18" t="str">
        <f>IFERROR(__xludf.DUMMYFUNCTION("SPLIT(T101,"","")"),"50.741351")</f>
        <v>50.741351</v>
      </c>
      <c r="O101" s="18" t="str">
        <f>IFERROR(__xludf.DUMMYFUNCTION("""COMPUTED_VALUE""")," 15.724361")</f>
        <v> 15.724361</v>
      </c>
      <c r="R101" s="12" t="s">
        <v>128</v>
      </c>
      <c r="S101" s="12" t="s">
        <v>142</v>
      </c>
      <c r="T101" s="12" t="s">
        <v>156</v>
      </c>
    </row>
    <row r="102">
      <c r="B102" s="1">
        <v>34.0</v>
      </c>
      <c r="C102" s="1">
        <v>7.0</v>
      </c>
      <c r="D102" s="1">
        <v>23.0</v>
      </c>
      <c r="E102" s="1">
        <v>120.0</v>
      </c>
      <c r="F102" s="1">
        <v>60.0</v>
      </c>
      <c r="G102" s="16">
        <v>134.0</v>
      </c>
      <c r="H102" s="18" t="str">
        <f>IFERROR(__xludf.DUMMYFUNCTION("SPLIT(R102,"","")"),"50.768821")</f>
        <v>50.768821</v>
      </c>
      <c r="I102" s="18" t="str">
        <f>IFERROR(__xludf.DUMMYFUNCTION("""COMPUTED_VALUE""")," 15.732605")</f>
        <v> 15.732605</v>
      </c>
      <c r="J102" s="16">
        <v>234.0</v>
      </c>
      <c r="K102" s="18" t="str">
        <f>IFERROR(__xludf.DUMMYFUNCTION("SPLIT(S102,"","")"),"50.759106")</f>
        <v>50.759106</v>
      </c>
      <c r="L102" s="13" t="str">
        <f>IFERROR(__xludf.DUMMYFUNCTION("""COMPUTED_VALUE""")," 15.723760")</f>
        <v> 15.723760</v>
      </c>
      <c r="M102" s="16">
        <v>334.0</v>
      </c>
      <c r="N102" s="18" t="str">
        <f>IFERROR(__xludf.DUMMYFUNCTION("SPLIT(T102,"","")"),"50.753080")</f>
        <v>50.753080</v>
      </c>
      <c r="O102" s="18" t="str">
        <f>IFERROR(__xludf.DUMMYFUNCTION("""COMPUTED_VALUE""")," 15.718866")</f>
        <v> 15.718866</v>
      </c>
      <c r="R102" s="12" t="s">
        <v>129</v>
      </c>
      <c r="S102" s="12" t="s">
        <v>143</v>
      </c>
      <c r="T102" s="12" t="s">
        <v>157</v>
      </c>
    </row>
    <row r="103">
      <c r="B103" s="1">
        <v>35.0</v>
      </c>
      <c r="C103" s="1">
        <v>23.0</v>
      </c>
      <c r="D103" s="1">
        <v>20.0</v>
      </c>
      <c r="E103" s="1">
        <v>15.0</v>
      </c>
      <c r="F103" s="1">
        <v>15.0</v>
      </c>
      <c r="G103" s="16">
        <v>135.0</v>
      </c>
      <c r="H103" s="18" t="str">
        <f>IFERROR(__xludf.DUMMYFUNCTION("SPLIT(R103,"","")"),"50.749737")</f>
        <v>50.749737</v>
      </c>
      <c r="I103" s="18" t="str">
        <f>IFERROR(__xludf.DUMMYFUNCTION("""COMPUTED_VALUE""")," 15.718913")</f>
        <v> 15.718913</v>
      </c>
      <c r="J103" s="16">
        <v>235.0</v>
      </c>
      <c r="K103" s="18" t="str">
        <f>IFERROR(__xludf.DUMMYFUNCTION("SPLIT(S103,"","")"),"50.749818")</f>
        <v>50.749818</v>
      </c>
      <c r="L103" s="13" t="str">
        <f>IFERROR(__xludf.DUMMYFUNCTION("""COMPUTED_VALUE""")," 15.721231")</f>
        <v> 15.721231</v>
      </c>
      <c r="M103" s="16">
        <v>335.0</v>
      </c>
      <c r="N103" s="18" t="str">
        <f>IFERROR(__xludf.DUMMYFUNCTION("SPLIT(T103,"","")"),"50.748352")</f>
        <v>50.748352</v>
      </c>
      <c r="O103" s="18" t="str">
        <f>IFERROR(__xludf.DUMMYFUNCTION("""COMPUTED_VALUE""")," 15.726125")</f>
        <v> 15.726125</v>
      </c>
      <c r="R103" s="12" t="s">
        <v>130</v>
      </c>
      <c r="S103" s="12" t="s">
        <v>144</v>
      </c>
      <c r="T103" s="12" t="s">
        <v>158</v>
      </c>
    </row>
    <row r="104">
      <c r="B104" s="1">
        <v>36.0</v>
      </c>
      <c r="C104" s="1">
        <v>23.0</v>
      </c>
      <c r="D104" s="1">
        <v>19.0</v>
      </c>
      <c r="E104" s="1">
        <v>10.0</v>
      </c>
      <c r="F104" s="1">
        <v>10.0</v>
      </c>
      <c r="G104" s="16">
        <v>136.0</v>
      </c>
      <c r="H104" s="18" t="str">
        <f>IFERROR(__xludf.DUMMYFUNCTION("SPLIT(R104,"","")"),"50.749803")</f>
        <v>50.749803</v>
      </c>
      <c r="I104" s="18" t="str">
        <f>IFERROR(__xludf.DUMMYFUNCTION("""COMPUTED_VALUE""")," 15.713391")</f>
        <v> 15.713391</v>
      </c>
      <c r="J104" s="16">
        <v>236.0</v>
      </c>
      <c r="K104" s="18" t="str">
        <f>IFERROR(__xludf.DUMMYFUNCTION("SPLIT(S104,"","")"),"50.751446")</f>
        <v>50.751446</v>
      </c>
      <c r="L104" s="13" t="str">
        <f>IFERROR(__xludf.DUMMYFUNCTION("""COMPUTED_VALUE""")," 15.711911")</f>
        <v> 15.711911</v>
      </c>
      <c r="M104" s="16">
        <v>336.0</v>
      </c>
      <c r="N104" s="18" t="str">
        <f>IFERROR(__xludf.DUMMYFUNCTION("SPLIT(T104,"","")"),"50.751460")</f>
        <v>50.751460</v>
      </c>
      <c r="O104" s="18" t="str">
        <f>IFERROR(__xludf.DUMMYFUNCTION("""COMPUTED_VALUE""")," 15.709807")</f>
        <v> 15.709807</v>
      </c>
      <c r="R104" s="12" t="s">
        <v>131</v>
      </c>
      <c r="S104" s="12" t="s">
        <v>145</v>
      </c>
      <c r="T104" s="12" t="s">
        <v>159</v>
      </c>
    </row>
    <row r="105">
      <c r="B105" s="1">
        <v>37.0</v>
      </c>
      <c r="C105" s="1">
        <v>23.0</v>
      </c>
      <c r="D105" s="1">
        <v>6.0</v>
      </c>
      <c r="E105" s="1">
        <v>75.0</v>
      </c>
      <c r="F105" s="1">
        <v>45.0</v>
      </c>
      <c r="G105" s="16">
        <v>137.0</v>
      </c>
      <c r="H105" s="18" t="str">
        <f>IFERROR(__xludf.DUMMYFUNCTION("SPLIT(R105,"","")"),"50.772675")</f>
        <v>50.772675</v>
      </c>
      <c r="I105" s="18" t="str">
        <f>IFERROR(__xludf.DUMMYFUNCTION("""COMPUTED_VALUE""")," 15.732523")</f>
        <v> 15.732523</v>
      </c>
      <c r="J105" s="16">
        <v>237.0</v>
      </c>
      <c r="K105" s="18" t="str">
        <f>IFERROR(__xludf.DUMMYFUNCTION("SPLIT(S105,"","")"),"50.769745")</f>
        <v>50.769745</v>
      </c>
      <c r="L105" s="13" t="str">
        <f>IFERROR(__xludf.DUMMYFUNCTION("""COMPUTED_VALUE""")," 15.726341")</f>
        <v> 15.726341</v>
      </c>
      <c r="M105" s="16">
        <v>337.0</v>
      </c>
      <c r="N105" s="18" t="str">
        <f>IFERROR(__xludf.DUMMYFUNCTION("SPLIT(T105,"","")"),"50.766489")</f>
        <v>50.766489</v>
      </c>
      <c r="O105" s="18" t="str">
        <f>IFERROR(__xludf.DUMMYFUNCTION("""COMPUTED_VALUE""")," 15.712431")</f>
        <v> 15.712431</v>
      </c>
      <c r="R105" s="12" t="s">
        <v>132</v>
      </c>
      <c r="S105" s="12" t="s">
        <v>146</v>
      </c>
      <c r="T105" s="12" t="s">
        <v>160</v>
      </c>
    </row>
    <row r="106">
      <c r="B106" s="1">
        <v>38.0</v>
      </c>
      <c r="C106" s="1">
        <v>27.0</v>
      </c>
      <c r="D106" s="1">
        <v>1.0</v>
      </c>
      <c r="E106" s="1">
        <v>70.0</v>
      </c>
      <c r="F106" s="1">
        <v>65.0</v>
      </c>
      <c r="G106" s="16">
        <v>138.0</v>
      </c>
      <c r="H106" s="18" t="str">
        <f>IFERROR(__xludf.DUMMYFUNCTION("SPLIT(R106,"","")"),"50.795902")</f>
        <v>50.795902</v>
      </c>
      <c r="I106" s="18" t="str">
        <f>IFERROR(__xludf.DUMMYFUNCTION("""COMPUTED_VALUE""")," 15.724537")</f>
        <v> 15.724537</v>
      </c>
      <c r="J106" s="16">
        <v>238.0</v>
      </c>
      <c r="K106" s="18" t="str">
        <f>IFERROR(__xludf.DUMMYFUNCTION("SPLIT(S106,"","")"),"50.794329")</f>
        <v>50.794329</v>
      </c>
      <c r="L106" s="13" t="str">
        <f>IFERROR(__xludf.DUMMYFUNCTION("""COMPUTED_VALUE""")," 15.713031")</f>
        <v> 15.713031</v>
      </c>
      <c r="M106" s="16">
        <v>338.0</v>
      </c>
      <c r="N106" s="18" t="str">
        <f>IFERROR(__xludf.DUMMYFUNCTION("SPLIT(T106,"","")"),"50.795251")</f>
        <v>50.795251</v>
      </c>
      <c r="O106" s="18" t="str">
        <f>IFERROR(__xludf.DUMMYFUNCTION("""COMPUTED_VALUE""")," 15.699465")</f>
        <v> 15.699465</v>
      </c>
      <c r="R106" s="12" t="s">
        <v>133</v>
      </c>
      <c r="S106" s="12" t="s">
        <v>147</v>
      </c>
      <c r="T106" s="12" t="s">
        <v>161</v>
      </c>
    </row>
    <row r="107">
      <c r="B107" s="1">
        <v>39.0</v>
      </c>
      <c r="C107" s="1">
        <v>2.0</v>
      </c>
      <c r="D107" s="14">
        <v>1.0</v>
      </c>
      <c r="E107" s="1">
        <v>50.0</v>
      </c>
      <c r="F107" s="1">
        <v>50.0</v>
      </c>
      <c r="G107" s="16">
        <v>139.0</v>
      </c>
      <c r="H107" s="18" t="str">
        <f>IFERROR(__xludf.DUMMYFUNCTION("SPLIT(R107,"","")"),"50.802795")</f>
        <v>50.802795</v>
      </c>
      <c r="I107" s="18" t="str">
        <f>IFERROR(__xludf.DUMMYFUNCTION("""COMPUTED_VALUE""")," 15.667724")</f>
        <v> 15.667724</v>
      </c>
      <c r="J107" s="16">
        <v>239.0</v>
      </c>
      <c r="K107" s="18" t="str">
        <f>IFERROR(__xludf.DUMMYFUNCTION("SPLIT(S107,"","")"),"50.799540")</f>
        <v>50.799540</v>
      </c>
      <c r="L107" s="13" t="str">
        <f>IFERROR(__xludf.DUMMYFUNCTION("""COMPUTED_VALUE""")," 15.672180")</f>
        <v> 15.672180</v>
      </c>
      <c r="M107" s="16">
        <v>339.0</v>
      </c>
      <c r="N107" s="18" t="str">
        <f>IFERROR(__xludf.DUMMYFUNCTION("SPLIT(T107,"","")"),"50.794224")</f>
        <v>50.794224</v>
      </c>
      <c r="O107" s="18" t="str">
        <f>IFERROR(__xludf.DUMMYFUNCTION("""COMPUTED_VALUE""")," 15.681969")</f>
        <v> 15.681969</v>
      </c>
      <c r="R107" s="12" t="s">
        <v>134</v>
      </c>
      <c r="S107" s="12" t="s">
        <v>148</v>
      </c>
      <c r="T107" s="12" t="s">
        <v>162</v>
      </c>
    </row>
    <row r="108">
      <c r="B108" s="1">
        <v>40.0</v>
      </c>
      <c r="C108" s="1">
        <v>5.0</v>
      </c>
      <c r="D108" s="14">
        <v>3.0</v>
      </c>
      <c r="E108" s="1">
        <v>90.0</v>
      </c>
      <c r="F108" s="1">
        <v>90.0</v>
      </c>
      <c r="G108" s="16">
        <v>140.0</v>
      </c>
      <c r="H108" s="18" t="str">
        <f>IFERROR(__xludf.DUMMYFUNCTION("SPLIT(R108,"","")"),"50.765459")</f>
        <v>50.765459</v>
      </c>
      <c r="I108" s="18" t="str">
        <f>IFERROR(__xludf.DUMMYFUNCTION("""COMPUTED_VALUE""")," 15.677530")</f>
        <v> 15.677530</v>
      </c>
      <c r="J108" s="16">
        <v>240.0</v>
      </c>
      <c r="K108" s="18" t="str">
        <f>IFERROR(__xludf.DUMMYFUNCTION("SPLIT(S108,"","")"),"50.767088")</f>
        <v>50.767088</v>
      </c>
      <c r="L108" s="13" t="str">
        <f>IFERROR(__xludf.DUMMYFUNCTION("""COMPUTED_VALUE""")," 15.666368")</f>
        <v> 15.666368</v>
      </c>
      <c r="M108" s="16">
        <v>340.0</v>
      </c>
      <c r="N108" s="18" t="str">
        <f>IFERROR(__xludf.DUMMYFUNCTION("SPLIT(T108,"","")"),"50.763614")</f>
        <v>50.763614</v>
      </c>
      <c r="O108" s="18" t="str">
        <f>IFERROR(__xludf.DUMMYFUNCTION("""COMPUTED_VALUE""")," 15.651084")</f>
        <v> 15.651084</v>
      </c>
      <c r="R108" s="12" t="s">
        <v>135</v>
      </c>
      <c r="S108" s="12" t="s">
        <v>149</v>
      </c>
      <c r="T108" s="12" t="s">
        <v>163</v>
      </c>
    </row>
    <row r="109">
      <c r="B109" s="1">
        <v>41.0</v>
      </c>
      <c r="C109" s="1">
        <v>5.0</v>
      </c>
      <c r="D109" s="1">
        <v>4.0</v>
      </c>
      <c r="E109" s="1">
        <v>35.0</v>
      </c>
      <c r="F109" s="1">
        <v>20.0</v>
      </c>
      <c r="G109" s="16">
        <v>141.0</v>
      </c>
      <c r="H109" s="18" t="str">
        <f>IFERROR(__xludf.DUMMYFUNCTION("SPLIT(R109,"","")"),"50.766351")</f>
        <v>50.766351</v>
      </c>
      <c r="I109" s="18" t="str">
        <f>IFERROR(__xludf.DUMMYFUNCTION("""COMPUTED_VALUE""")," 15.690456")</f>
        <v> 15.690456</v>
      </c>
      <c r="J109" s="16">
        <v>241.0</v>
      </c>
      <c r="K109" s="18" t="str">
        <f>IFERROR(__xludf.DUMMYFUNCTION("SPLIT(S109,"","")"),"50.765347")</f>
        <v>50.765347</v>
      </c>
      <c r="L109" s="13" t="str">
        <f>IFERROR(__xludf.DUMMYFUNCTION("""COMPUTED_VALUE""")," 15.688137")</f>
        <v> 15.688137</v>
      </c>
      <c r="M109" s="16">
        <v>341.0</v>
      </c>
      <c r="N109" s="18" t="str">
        <f>IFERROR(__xludf.DUMMYFUNCTION("SPLIT(T109,"","")"),"50.762768")</f>
        <v>50.762768</v>
      </c>
      <c r="O109" s="18" t="str">
        <f>IFERROR(__xludf.DUMMYFUNCTION("""COMPUTED_VALUE""")," 15.685862")</f>
        <v> 15.685862</v>
      </c>
      <c r="R109" s="12" t="s">
        <v>136</v>
      </c>
      <c r="S109" s="12" t="s">
        <v>150</v>
      </c>
      <c r="T109" s="12" t="s">
        <v>164</v>
      </c>
    </row>
    <row r="110">
      <c r="B110" s="1">
        <v>42.0</v>
      </c>
      <c r="C110" s="1">
        <v>6.0</v>
      </c>
      <c r="D110" s="1">
        <v>4.0</v>
      </c>
      <c r="E110" s="1">
        <v>60.0</v>
      </c>
      <c r="F110" s="1">
        <v>35.0</v>
      </c>
      <c r="G110" s="16">
        <v>142.0</v>
      </c>
      <c r="H110" s="18" t="str">
        <f>IFERROR(__xludf.DUMMYFUNCTION("SPLIT(R110,"","")"),"50.763068")</f>
        <v>50.763068</v>
      </c>
      <c r="I110" s="18" t="str">
        <f>IFERROR(__xludf.DUMMYFUNCTION("""COMPUTED_VALUE""")," 15.699132")</f>
        <v> 15.699132</v>
      </c>
      <c r="J110" s="16">
        <v>242.0</v>
      </c>
      <c r="K110" s="18" t="str">
        <f>IFERROR(__xludf.DUMMYFUNCTION("SPLIT(S110,"","")"),"50.762362")</f>
        <v>50.762362</v>
      </c>
      <c r="L110" s="13" t="str">
        <f>IFERROR(__xludf.DUMMYFUNCTION("""COMPUTED_VALUE""")," 15.695354")</f>
        <v> 15.695354</v>
      </c>
      <c r="M110" s="16">
        <v>342.0</v>
      </c>
      <c r="N110" s="18" t="str">
        <f>IFERROR(__xludf.DUMMYFUNCTION("SPLIT(T110,"","")"),"50.761765")</f>
        <v>50.761765</v>
      </c>
      <c r="O110" s="18" t="str">
        <f>IFERROR(__xludf.DUMMYFUNCTION("""COMPUTED_VALUE""")," 15.686338")</f>
        <v> 15.686338</v>
      </c>
      <c r="R110" s="12" t="s">
        <v>137</v>
      </c>
      <c r="S110" s="12" t="s">
        <v>151</v>
      </c>
      <c r="T110" s="12" t="s">
        <v>165</v>
      </c>
    </row>
    <row r="111">
      <c r="B111" s="1">
        <v>43.0</v>
      </c>
      <c r="C111" s="1">
        <v>6.0</v>
      </c>
      <c r="D111" s="12">
        <v>5.0</v>
      </c>
      <c r="E111" s="1">
        <v>25.0</v>
      </c>
      <c r="F111" s="1">
        <v>15.0</v>
      </c>
      <c r="G111" s="16">
        <v>143.0</v>
      </c>
      <c r="H111" s="18" t="str">
        <f>IFERROR(__xludf.DUMMYFUNCTION("SPLIT(R111,"","")"),"50.767084")</f>
        <v>50.767084</v>
      </c>
      <c r="I111" s="18" t="str">
        <f>IFERROR(__xludf.DUMMYFUNCTION("""COMPUTED_VALUE""")," 15.703202")</f>
        <v> 15.703202</v>
      </c>
      <c r="J111" s="16">
        <v>243.0</v>
      </c>
      <c r="K111" s="18" t="str">
        <f>IFERROR(__xludf.DUMMYFUNCTION("SPLIT(S111,"","")"),"50.768061")</f>
        <v>50.768061</v>
      </c>
      <c r="L111" s="13" t="str">
        <f>IFERROR(__xludf.DUMMYFUNCTION("""COMPUTED_VALUE""")," 15.699381")</f>
        <v> 15.699381</v>
      </c>
      <c r="M111" s="16">
        <v>343.0</v>
      </c>
      <c r="N111" s="18" t="str">
        <f>IFERROR(__xludf.DUMMYFUNCTION("SPLIT(T111,"","")"),"50.767654")</f>
        <v>50.767654</v>
      </c>
      <c r="O111" s="18" t="str">
        <f>IFERROR(__xludf.DUMMYFUNCTION("""COMPUTED_VALUE""")," 15.696076")</f>
        <v> 15.696076</v>
      </c>
      <c r="R111" s="12" t="s">
        <v>138</v>
      </c>
      <c r="S111" s="12" t="s">
        <v>152</v>
      </c>
      <c r="T111" s="12" t="s">
        <v>166</v>
      </c>
    </row>
    <row r="112">
      <c r="B112" s="1">
        <v>44.0</v>
      </c>
      <c r="C112" s="1">
        <v>2.0</v>
      </c>
      <c r="D112" s="12">
        <v>1.0</v>
      </c>
      <c r="E112" s="1">
        <v>40.0</v>
      </c>
      <c r="F112" s="1">
        <v>40.0</v>
      </c>
      <c r="G112" s="16">
        <v>144.0</v>
      </c>
      <c r="H112" s="18" t="str">
        <f>IFERROR(__xludf.DUMMYFUNCTION("SPLIT(R112,"","")"),"50.801110")</f>
        <v>50.801110</v>
      </c>
      <c r="I112" s="18" t="str">
        <f>IFERROR(__xludf.DUMMYFUNCTION("""COMPUTED_VALUE""")," 15.670456")</f>
        <v> 15.670456</v>
      </c>
      <c r="J112" s="16">
        <v>244.0</v>
      </c>
      <c r="K112" s="18" t="str">
        <f>IFERROR(__xludf.DUMMYFUNCTION("SPLIT(S112,"","")"),"50.798073")</f>
        <v>50.798073</v>
      </c>
      <c r="L112" s="13" t="str">
        <f>IFERROR(__xludf.DUMMYFUNCTION("""COMPUTED_VALUE""")," 15.674063")</f>
        <v> 15.674063</v>
      </c>
      <c r="M112" s="16">
        <v>344.0</v>
      </c>
      <c r="N112" s="18" t="str">
        <f>IFERROR(__xludf.DUMMYFUNCTION("SPLIT(T112,"","")"),"50.794113")</f>
        <v>50.794113</v>
      </c>
      <c r="O112" s="18" t="str">
        <f>IFERROR(__xludf.DUMMYFUNCTION("""COMPUTED_VALUE""")," 15.681362")</f>
        <v> 15.681362</v>
      </c>
      <c r="R112" s="12" t="s">
        <v>139</v>
      </c>
      <c r="S112" s="12" t="s">
        <v>153</v>
      </c>
      <c r="T112" s="12" t="s">
        <v>167</v>
      </c>
    </row>
    <row r="113">
      <c r="B113" s="1">
        <v>45.0</v>
      </c>
      <c r="C113" s="1">
        <v>1.0</v>
      </c>
      <c r="D113" s="12">
        <v>6.0</v>
      </c>
      <c r="E113" s="1">
        <v>105.0</v>
      </c>
      <c r="F113" s="1">
        <v>75.0</v>
      </c>
      <c r="G113" s="16">
        <v>145.0</v>
      </c>
      <c r="H113" s="18" t="str">
        <f>IFERROR(__xludf.DUMMYFUNCTION("SPLIT(R113,"","")"),"50.787437")</f>
        <v>50.787437</v>
      </c>
      <c r="I113" s="18" t="str">
        <f>IFERROR(__xludf.DUMMYFUNCTION("""COMPUTED_VALUE""")," 15.697753")</f>
        <v> 15.697753</v>
      </c>
      <c r="J113" s="16">
        <v>245.0</v>
      </c>
      <c r="K113" s="18" t="str">
        <f>IFERROR(__xludf.DUMMYFUNCTION("SPLIT(S113,"","")"),"50.784399")</f>
        <v>50.784399</v>
      </c>
      <c r="L113" s="13" t="str">
        <f>IFERROR(__xludf.DUMMYFUNCTION("""COMPUTED_VALUE""")," 15.700672")</f>
        <v> 15.700672</v>
      </c>
      <c r="M113" s="16">
        <v>345.0</v>
      </c>
      <c r="N113" s="18" t="str">
        <f>IFERROR(__xludf.DUMMYFUNCTION("SPLIT(T113,"","")"),"50.771102")</f>
        <v>50.771102</v>
      </c>
      <c r="O113" s="18" t="str">
        <f>IFERROR(__xludf.DUMMYFUNCTION("""COMPUTED_VALUE""")," 15.712691")</f>
        <v> 15.712691</v>
      </c>
      <c r="R113" s="12" t="s">
        <v>140</v>
      </c>
      <c r="S113" s="12" t="s">
        <v>154</v>
      </c>
      <c r="T113" s="12" t="s">
        <v>168</v>
      </c>
    </row>
    <row r="114">
      <c r="B114" s="1">
        <v>46.0</v>
      </c>
      <c r="C114" s="1">
        <v>1.0</v>
      </c>
      <c r="D114" s="1">
        <v>26.0</v>
      </c>
      <c r="E114" s="1">
        <v>75.0</v>
      </c>
      <c r="F114" s="1">
        <v>50.0</v>
      </c>
      <c r="G114" s="16">
        <v>146.0</v>
      </c>
      <c r="H114" s="18" t="str">
        <f>IFERROR(__xludf.DUMMYFUNCTION("SPLIT(R114,"","")"),"50.788482")</f>
        <v>50.788482</v>
      </c>
      <c r="I114" s="18" t="str">
        <f>IFERROR(__xludf.DUMMYFUNCTION("""COMPUTED_VALUE""")," 15.697310")</f>
        <v> 15.697310</v>
      </c>
      <c r="J114" s="16">
        <v>246.0</v>
      </c>
      <c r="K114" s="18" t="str">
        <f>IFERROR(__xludf.DUMMYFUNCTION("SPLIT(S114,"","")"),"50.785700")</f>
        <v>50.785700</v>
      </c>
      <c r="L114" s="13" t="str">
        <f>IFERROR(__xludf.DUMMYFUNCTION("""COMPUTED_VALUE""")," 15.704361")</f>
        <v> 15.704361</v>
      </c>
      <c r="M114" s="16">
        <v>346.0</v>
      </c>
      <c r="N114" s="18" t="str">
        <f>IFERROR(__xludf.DUMMYFUNCTION("SPLIT(T114,"","")"),"50.784181")</f>
        <v>50.784181</v>
      </c>
      <c r="O114" s="18" t="str">
        <f>IFERROR(__xludf.DUMMYFUNCTION("""COMPUTED_VALUE""")," 15.718099")</f>
        <v> 15.718099</v>
      </c>
      <c r="R114" s="12" t="s">
        <v>141</v>
      </c>
      <c r="S114" s="12" t="s">
        <v>155</v>
      </c>
      <c r="T114" s="12" t="s">
        <v>169</v>
      </c>
    </row>
    <row r="115">
      <c r="L115" s="13"/>
    </row>
    <row r="116">
      <c r="L116" s="13"/>
    </row>
    <row r="117">
      <c r="L117" s="13"/>
    </row>
    <row r="118">
      <c r="F118" s="1" t="s">
        <v>282</v>
      </c>
      <c r="G118" s="1" t="s">
        <v>283</v>
      </c>
      <c r="H118" s="1" t="s">
        <v>284</v>
      </c>
      <c r="I118" s="1" t="s">
        <v>285</v>
      </c>
      <c r="J118" s="1" t="s">
        <v>286</v>
      </c>
      <c r="K118" s="1" t="s">
        <v>173</v>
      </c>
      <c r="L118" s="13"/>
    </row>
    <row r="119">
      <c r="F119" s="1" t="s">
        <v>287</v>
      </c>
      <c r="G119" s="1" t="s">
        <v>288</v>
      </c>
      <c r="H119" s="1" t="s">
        <v>289</v>
      </c>
      <c r="I119" s="1" t="s">
        <v>8</v>
      </c>
      <c r="J119" s="1" t="s">
        <v>290</v>
      </c>
      <c r="K119" s="1">
        <v>1.0</v>
      </c>
      <c r="L119" s="13"/>
    </row>
    <row r="120">
      <c r="F120" s="1" t="s">
        <v>291</v>
      </c>
      <c r="G120" s="1" t="s">
        <v>292</v>
      </c>
      <c r="H120" s="1" t="s">
        <v>293</v>
      </c>
      <c r="I120" s="1" t="s">
        <v>12</v>
      </c>
      <c r="J120" s="1" t="s">
        <v>294</v>
      </c>
      <c r="K120" s="1">
        <v>2.0</v>
      </c>
      <c r="L120" s="13"/>
    </row>
    <row r="121">
      <c r="B121" s="16" t="s">
        <v>170</v>
      </c>
      <c r="C121" s="1">
        <v>7.0</v>
      </c>
      <c r="D121" s="1">
        <v>20.0</v>
      </c>
      <c r="F121" s="1" t="s">
        <v>295</v>
      </c>
      <c r="G121" s="1" t="s">
        <v>296</v>
      </c>
      <c r="H121" s="1" t="s">
        <v>297</v>
      </c>
      <c r="I121" s="1" t="s">
        <v>16</v>
      </c>
      <c r="J121" s="1" t="s">
        <v>298</v>
      </c>
      <c r="K121" s="1">
        <v>3.0</v>
      </c>
      <c r="L121" s="13"/>
    </row>
    <row r="122">
      <c r="F122" s="1" t="s">
        <v>299</v>
      </c>
      <c r="G122" s="1" t="s">
        <v>300</v>
      </c>
      <c r="H122" s="1" t="s">
        <v>301</v>
      </c>
      <c r="I122" s="1" t="s">
        <v>20</v>
      </c>
      <c r="J122" s="1" t="s">
        <v>302</v>
      </c>
      <c r="K122" s="1">
        <v>4.0</v>
      </c>
      <c r="L122" s="13"/>
    </row>
    <row r="123">
      <c r="F123" s="1" t="s">
        <v>303</v>
      </c>
      <c r="G123" s="1" t="s">
        <v>304</v>
      </c>
      <c r="H123" s="1" t="s">
        <v>305</v>
      </c>
      <c r="I123" s="1" t="s">
        <v>24</v>
      </c>
      <c r="J123" s="1" t="s">
        <v>306</v>
      </c>
      <c r="K123" s="1">
        <v>5.0</v>
      </c>
      <c r="L123" s="13"/>
    </row>
    <row r="124">
      <c r="F124" s="1" t="s">
        <v>307</v>
      </c>
      <c r="G124" s="1" t="s">
        <v>308</v>
      </c>
      <c r="H124" s="1" t="s">
        <v>309</v>
      </c>
      <c r="I124" s="1" t="s">
        <v>28</v>
      </c>
      <c r="J124" s="1" t="s">
        <v>310</v>
      </c>
      <c r="K124" s="1">
        <v>6.0</v>
      </c>
      <c r="L124" s="13"/>
    </row>
    <row r="125">
      <c r="F125" s="1" t="s">
        <v>311</v>
      </c>
      <c r="G125" s="1" t="s">
        <v>312</v>
      </c>
      <c r="H125" s="1" t="s">
        <v>313</v>
      </c>
      <c r="I125" s="1" t="s">
        <v>32</v>
      </c>
      <c r="J125" s="1" t="s">
        <v>314</v>
      </c>
      <c r="K125" s="1">
        <v>7.0</v>
      </c>
      <c r="L125" s="13"/>
    </row>
    <row r="126">
      <c r="F126" s="1" t="s">
        <v>315</v>
      </c>
      <c r="G126" s="1" t="s">
        <v>316</v>
      </c>
      <c r="H126" s="1" t="s">
        <v>317</v>
      </c>
      <c r="I126" s="1" t="s">
        <v>36</v>
      </c>
      <c r="J126" s="1" t="s">
        <v>318</v>
      </c>
      <c r="K126" s="1">
        <v>8.0</v>
      </c>
      <c r="L126" s="13"/>
    </row>
    <row r="127">
      <c r="F127" s="1" t="s">
        <v>319</v>
      </c>
      <c r="G127" s="1" t="s">
        <v>320</v>
      </c>
      <c r="H127" s="1" t="s">
        <v>321</v>
      </c>
      <c r="I127" s="1" t="s">
        <v>40</v>
      </c>
      <c r="J127" s="1" t="s">
        <v>322</v>
      </c>
      <c r="K127" s="1">
        <v>9.0</v>
      </c>
      <c r="L127" s="13"/>
    </row>
    <row r="128">
      <c r="F128" s="1" t="s">
        <v>323</v>
      </c>
      <c r="G128" s="1" t="s">
        <v>324</v>
      </c>
      <c r="H128" s="1" t="s">
        <v>325</v>
      </c>
      <c r="I128" s="1" t="s">
        <v>44</v>
      </c>
      <c r="J128" s="1" t="s">
        <v>326</v>
      </c>
      <c r="K128" s="1">
        <v>10.0</v>
      </c>
      <c r="L128" s="13"/>
    </row>
    <row r="129">
      <c r="F129" s="1" t="s">
        <v>327</v>
      </c>
      <c r="G129" s="1" t="s">
        <v>328</v>
      </c>
      <c r="H129" s="1" t="s">
        <v>329</v>
      </c>
      <c r="I129" s="1" t="s">
        <v>48</v>
      </c>
      <c r="J129" s="1" t="s">
        <v>330</v>
      </c>
      <c r="K129" s="1">
        <v>11.0</v>
      </c>
      <c r="L129" s="13"/>
    </row>
    <row r="130">
      <c r="F130" s="1" t="s">
        <v>331</v>
      </c>
      <c r="G130" s="1" t="s">
        <v>332</v>
      </c>
      <c r="H130" s="1" t="s">
        <v>333</v>
      </c>
      <c r="I130" s="1" t="s">
        <v>52</v>
      </c>
      <c r="J130" s="1" t="s">
        <v>334</v>
      </c>
      <c r="K130" s="1">
        <v>12.0</v>
      </c>
      <c r="L130" s="13"/>
    </row>
    <row r="131">
      <c r="F131" s="1" t="s">
        <v>335</v>
      </c>
      <c r="G131" s="1" t="s">
        <v>336</v>
      </c>
      <c r="H131" s="1" t="s">
        <v>337</v>
      </c>
      <c r="I131" s="1" t="s">
        <v>56</v>
      </c>
      <c r="J131" s="1" t="s">
        <v>338</v>
      </c>
      <c r="K131" s="1">
        <v>13.0</v>
      </c>
      <c r="L131" s="13"/>
    </row>
    <row r="132">
      <c r="F132" s="1" t="s">
        <v>339</v>
      </c>
      <c r="G132" s="1" t="s">
        <v>340</v>
      </c>
      <c r="H132" s="1" t="s">
        <v>341</v>
      </c>
      <c r="I132" s="1" t="s">
        <v>60</v>
      </c>
      <c r="J132" s="1" t="s">
        <v>342</v>
      </c>
      <c r="K132" s="1">
        <v>14.0</v>
      </c>
      <c r="L132" s="13"/>
    </row>
    <row r="133">
      <c r="F133" s="1" t="s">
        <v>343</v>
      </c>
      <c r="G133" s="1" t="s">
        <v>344</v>
      </c>
      <c r="H133" s="1" t="s">
        <v>345</v>
      </c>
      <c r="I133" s="1" t="s">
        <v>64</v>
      </c>
      <c r="J133" s="1" t="s">
        <v>346</v>
      </c>
      <c r="K133" s="1">
        <v>15.0</v>
      </c>
      <c r="L133" s="13"/>
    </row>
    <row r="134">
      <c r="F134" s="1" t="s">
        <v>347</v>
      </c>
      <c r="G134" s="1" t="s">
        <v>348</v>
      </c>
      <c r="H134" s="1" t="s">
        <v>349</v>
      </c>
      <c r="I134" s="1" t="s">
        <v>68</v>
      </c>
      <c r="J134" s="1" t="s">
        <v>350</v>
      </c>
      <c r="K134" s="1">
        <v>16.0</v>
      </c>
      <c r="L134" s="13"/>
    </row>
    <row r="135">
      <c r="F135" s="1" t="s">
        <v>351</v>
      </c>
      <c r="G135" s="1" t="s">
        <v>352</v>
      </c>
      <c r="H135" s="1" t="s">
        <v>353</v>
      </c>
      <c r="I135" s="1" t="s">
        <v>72</v>
      </c>
      <c r="J135" s="1" t="s">
        <v>354</v>
      </c>
      <c r="K135" s="1">
        <v>17.0</v>
      </c>
      <c r="L135" s="13"/>
    </row>
    <row r="136">
      <c r="F136" s="1" t="s">
        <v>355</v>
      </c>
      <c r="G136" s="1" t="s">
        <v>356</v>
      </c>
      <c r="H136" s="1" t="s">
        <v>357</v>
      </c>
      <c r="I136" s="1" t="s">
        <v>76</v>
      </c>
      <c r="J136" s="1" t="s">
        <v>358</v>
      </c>
      <c r="K136" s="1">
        <v>18.0</v>
      </c>
      <c r="L136" s="13"/>
    </row>
    <row r="137">
      <c r="F137" s="1" t="s">
        <v>359</v>
      </c>
      <c r="G137" s="1" t="s">
        <v>360</v>
      </c>
      <c r="H137" s="1" t="s">
        <v>361</v>
      </c>
      <c r="I137" s="1" t="s">
        <v>76</v>
      </c>
      <c r="J137" s="1" t="s">
        <v>362</v>
      </c>
      <c r="K137" s="1">
        <v>19.0</v>
      </c>
      <c r="L137" s="13"/>
    </row>
    <row r="138">
      <c r="F138" s="1" t="s">
        <v>363</v>
      </c>
      <c r="G138" s="1" t="s">
        <v>364</v>
      </c>
      <c r="H138" s="1" t="s">
        <v>365</v>
      </c>
      <c r="I138" s="1" t="s">
        <v>81</v>
      </c>
      <c r="J138" s="1" t="s">
        <v>366</v>
      </c>
      <c r="K138" s="1">
        <v>20.0</v>
      </c>
      <c r="L138" s="13"/>
    </row>
    <row r="139">
      <c r="F139" s="1" t="s">
        <v>367</v>
      </c>
      <c r="G139" s="1" t="s">
        <v>368</v>
      </c>
      <c r="H139" s="1" t="s">
        <v>369</v>
      </c>
      <c r="I139" s="1" t="s">
        <v>85</v>
      </c>
      <c r="J139" s="1" t="s">
        <v>370</v>
      </c>
      <c r="K139" s="1">
        <v>21.0</v>
      </c>
      <c r="L139" s="13"/>
    </row>
    <row r="140">
      <c r="F140" s="1" t="s">
        <v>371</v>
      </c>
      <c r="G140" s="1" t="s">
        <v>372</v>
      </c>
      <c r="H140" s="1" t="s">
        <v>373</v>
      </c>
      <c r="I140" s="1" t="s">
        <v>89</v>
      </c>
      <c r="J140" s="1" t="s">
        <v>374</v>
      </c>
      <c r="K140" s="1">
        <v>22.0</v>
      </c>
      <c r="L140" s="13"/>
    </row>
    <row r="141">
      <c r="F141" s="1" t="s">
        <v>375</v>
      </c>
      <c r="G141" s="1" t="s">
        <v>315</v>
      </c>
      <c r="H141" s="1" t="s">
        <v>376</v>
      </c>
      <c r="I141" s="1" t="s">
        <v>93</v>
      </c>
      <c r="J141" s="1" t="s">
        <v>377</v>
      </c>
      <c r="K141" s="1">
        <v>23.0</v>
      </c>
      <c r="L141" s="13"/>
    </row>
    <row r="142">
      <c r="F142" s="1" t="s">
        <v>378</v>
      </c>
      <c r="G142" s="1" t="s">
        <v>379</v>
      </c>
      <c r="H142" s="1" t="s">
        <v>380</v>
      </c>
      <c r="I142" s="1" t="s">
        <v>97</v>
      </c>
      <c r="J142" s="1" t="s">
        <v>381</v>
      </c>
      <c r="K142" s="1">
        <v>24.0</v>
      </c>
      <c r="L142" s="13"/>
    </row>
    <row r="143">
      <c r="F143" s="1" t="s">
        <v>382</v>
      </c>
      <c r="G143" s="1" t="s">
        <v>383</v>
      </c>
      <c r="H143" s="1" t="s">
        <v>384</v>
      </c>
      <c r="I143" s="1" t="s">
        <v>101</v>
      </c>
      <c r="J143" s="1" t="s">
        <v>385</v>
      </c>
      <c r="K143" s="1">
        <v>25.0</v>
      </c>
      <c r="L143" s="13"/>
    </row>
    <row r="144">
      <c r="F144" s="1" t="s">
        <v>386</v>
      </c>
      <c r="G144" s="1" t="s">
        <v>387</v>
      </c>
      <c r="H144" s="1" t="s">
        <v>388</v>
      </c>
      <c r="I144" s="1" t="s">
        <v>105</v>
      </c>
      <c r="J144" s="1" t="s">
        <v>389</v>
      </c>
      <c r="K144" s="1">
        <v>26.0</v>
      </c>
      <c r="L144" s="13"/>
    </row>
    <row r="145">
      <c r="F145" s="1" t="s">
        <v>390</v>
      </c>
      <c r="G145" s="1" t="s">
        <v>391</v>
      </c>
      <c r="H145" s="1" t="s">
        <v>392</v>
      </c>
      <c r="I145" s="1" t="s">
        <v>109</v>
      </c>
      <c r="J145" s="1" t="s">
        <v>393</v>
      </c>
      <c r="K145" s="1">
        <v>27.0</v>
      </c>
      <c r="L145" s="13"/>
    </row>
    <row r="146">
      <c r="F146" s="1" t="s">
        <v>394</v>
      </c>
      <c r="G146" s="1" t="s">
        <v>395</v>
      </c>
      <c r="H146" s="1" t="s">
        <v>396</v>
      </c>
      <c r="I146" s="1" t="s">
        <v>113</v>
      </c>
      <c r="J146" s="1" t="s">
        <v>397</v>
      </c>
      <c r="K146" s="1">
        <v>28.0</v>
      </c>
      <c r="L146" s="13"/>
    </row>
    <row r="147">
      <c r="F147" s="1" t="s">
        <v>398</v>
      </c>
      <c r="G147" s="1" t="s">
        <v>399</v>
      </c>
      <c r="H147" s="1" t="s">
        <v>400</v>
      </c>
      <c r="I147" s="1">
        <v>0.0</v>
      </c>
      <c r="J147" s="1" t="s">
        <v>401</v>
      </c>
      <c r="K147" s="1">
        <v>29.0</v>
      </c>
      <c r="L147" s="13"/>
    </row>
    <row r="148">
      <c r="F148" s="1" t="s">
        <v>402</v>
      </c>
      <c r="G148" s="1" t="s">
        <v>403</v>
      </c>
      <c r="H148" s="1" t="s">
        <v>404</v>
      </c>
      <c r="I148" s="1">
        <v>0.0</v>
      </c>
      <c r="J148" s="1" t="s">
        <v>405</v>
      </c>
      <c r="K148" s="1">
        <v>30.0</v>
      </c>
      <c r="L148" s="13"/>
    </row>
    <row r="149">
      <c r="F149" s="1" t="s">
        <v>406</v>
      </c>
      <c r="G149" s="1" t="s">
        <v>407</v>
      </c>
      <c r="H149" s="1" t="s">
        <v>408</v>
      </c>
      <c r="I149" s="1">
        <v>0.0</v>
      </c>
      <c r="J149" s="1" t="s">
        <v>409</v>
      </c>
      <c r="K149" s="1">
        <v>31.0</v>
      </c>
      <c r="L149" s="13"/>
    </row>
    <row r="150">
      <c r="F150" s="1" t="s">
        <v>410</v>
      </c>
      <c r="G150" s="1" t="s">
        <v>312</v>
      </c>
      <c r="H150" s="1" t="s">
        <v>411</v>
      </c>
      <c r="I150" s="1">
        <v>0.0</v>
      </c>
      <c r="J150" s="1" t="s">
        <v>412</v>
      </c>
      <c r="K150" s="1">
        <v>32.0</v>
      </c>
      <c r="L150" s="13"/>
    </row>
    <row r="151">
      <c r="F151" s="1" t="s">
        <v>413</v>
      </c>
      <c r="G151" s="1" t="s">
        <v>414</v>
      </c>
      <c r="H151" s="1" t="s">
        <v>415</v>
      </c>
      <c r="I151" s="1">
        <v>0.0</v>
      </c>
      <c r="J151" s="1" t="s">
        <v>416</v>
      </c>
      <c r="K151" s="1">
        <v>33.0</v>
      </c>
      <c r="L151" s="13"/>
    </row>
    <row r="152">
      <c r="F152" s="1" t="s">
        <v>417</v>
      </c>
      <c r="G152" s="1" t="s">
        <v>418</v>
      </c>
      <c r="H152" s="1" t="s">
        <v>419</v>
      </c>
      <c r="I152" s="1">
        <v>0.0</v>
      </c>
      <c r="J152" s="1" t="s">
        <v>420</v>
      </c>
      <c r="K152" s="1">
        <v>34.0</v>
      </c>
      <c r="L152" s="13"/>
    </row>
    <row r="153">
      <c r="F153" s="1" t="s">
        <v>421</v>
      </c>
      <c r="G153" s="1" t="s">
        <v>422</v>
      </c>
      <c r="H153" s="1" t="s">
        <v>423</v>
      </c>
      <c r="I153" s="1">
        <v>0.0</v>
      </c>
      <c r="J153" s="1" t="s">
        <v>424</v>
      </c>
      <c r="K153" s="1">
        <v>35.0</v>
      </c>
      <c r="L153" s="13"/>
    </row>
    <row r="154">
      <c r="F154" s="1" t="s">
        <v>425</v>
      </c>
      <c r="G154" s="1" t="s">
        <v>426</v>
      </c>
      <c r="H154" s="1" t="s">
        <v>427</v>
      </c>
      <c r="I154" s="1">
        <v>0.0</v>
      </c>
      <c r="J154" s="1" t="s">
        <v>428</v>
      </c>
      <c r="K154" s="1">
        <v>36.0</v>
      </c>
      <c r="L154" s="13"/>
    </row>
    <row r="155">
      <c r="F155" s="1" t="s">
        <v>429</v>
      </c>
      <c r="G155" s="1" t="s">
        <v>430</v>
      </c>
      <c r="H155" s="1" t="s">
        <v>431</v>
      </c>
      <c r="I155" s="1">
        <v>0.0</v>
      </c>
      <c r="J155" s="1" t="s">
        <v>432</v>
      </c>
      <c r="K155" s="1">
        <v>37.0</v>
      </c>
      <c r="L155" s="13"/>
    </row>
    <row r="156">
      <c r="F156" s="1" t="s">
        <v>433</v>
      </c>
      <c r="G156" s="1" t="s">
        <v>434</v>
      </c>
      <c r="H156" s="1" t="s">
        <v>435</v>
      </c>
      <c r="I156" s="1">
        <v>0.0</v>
      </c>
      <c r="J156" s="1" t="s">
        <v>436</v>
      </c>
      <c r="K156" s="1">
        <v>38.0</v>
      </c>
      <c r="L156" s="13"/>
    </row>
    <row r="157">
      <c r="F157" s="1" t="s">
        <v>437</v>
      </c>
      <c r="G157" s="1" t="s">
        <v>438</v>
      </c>
      <c r="H157" s="1" t="s">
        <v>439</v>
      </c>
      <c r="I157" s="1">
        <v>0.0</v>
      </c>
      <c r="J157" s="1" t="s">
        <v>440</v>
      </c>
      <c r="K157" s="1">
        <v>39.0</v>
      </c>
      <c r="L157" s="13"/>
    </row>
    <row r="158">
      <c r="F158" s="1" t="s">
        <v>441</v>
      </c>
      <c r="G158" s="1" t="s">
        <v>442</v>
      </c>
      <c r="H158" s="1" t="s">
        <v>443</v>
      </c>
      <c r="I158" s="1">
        <v>0.0</v>
      </c>
      <c r="J158" s="1" t="s">
        <v>444</v>
      </c>
      <c r="K158" s="1">
        <v>40.0</v>
      </c>
      <c r="L158" s="13"/>
    </row>
    <row r="159">
      <c r="F159" s="1" t="s">
        <v>445</v>
      </c>
      <c r="G159" s="1" t="s">
        <v>446</v>
      </c>
      <c r="H159" s="1" t="s">
        <v>447</v>
      </c>
      <c r="I159" s="1">
        <v>0.0</v>
      </c>
      <c r="J159" s="1" t="s">
        <v>448</v>
      </c>
      <c r="K159" s="1">
        <v>41.0</v>
      </c>
      <c r="L159" s="13"/>
    </row>
    <row r="160">
      <c r="F160" s="1" t="s">
        <v>449</v>
      </c>
      <c r="G160" s="1" t="s">
        <v>450</v>
      </c>
      <c r="H160" s="1" t="s">
        <v>451</v>
      </c>
      <c r="I160" s="1">
        <v>0.0</v>
      </c>
      <c r="J160" s="1" t="s">
        <v>452</v>
      </c>
      <c r="K160" s="1">
        <v>42.0</v>
      </c>
      <c r="L160" s="13"/>
    </row>
    <row r="161">
      <c r="F161" s="1" t="s">
        <v>453</v>
      </c>
      <c r="G161" s="1" t="s">
        <v>454</v>
      </c>
      <c r="H161" s="1" t="s">
        <v>455</v>
      </c>
      <c r="I161" s="1">
        <v>0.0</v>
      </c>
      <c r="J161" s="1" t="s">
        <v>456</v>
      </c>
      <c r="K161" s="1">
        <v>43.0</v>
      </c>
      <c r="L161" s="13"/>
    </row>
    <row r="162">
      <c r="F162" s="1" t="s">
        <v>457</v>
      </c>
      <c r="G162" s="1" t="s">
        <v>458</v>
      </c>
      <c r="H162" s="1" t="s">
        <v>459</v>
      </c>
      <c r="I162" s="1">
        <v>0.0</v>
      </c>
      <c r="J162" s="1" t="s">
        <v>460</v>
      </c>
      <c r="K162" s="1">
        <v>44.0</v>
      </c>
      <c r="L162" s="13"/>
    </row>
    <row r="163">
      <c r="F163" s="1" t="s">
        <v>461</v>
      </c>
      <c r="G163" s="1" t="s">
        <v>462</v>
      </c>
      <c r="H163" s="1" t="s">
        <v>463</v>
      </c>
      <c r="I163" s="1">
        <v>0.0</v>
      </c>
      <c r="J163" s="1" t="s">
        <v>464</v>
      </c>
      <c r="K163" s="1">
        <v>45.0</v>
      </c>
      <c r="L163" s="13"/>
    </row>
    <row r="164">
      <c r="F164" s="1" t="s">
        <v>465</v>
      </c>
      <c r="G164" s="1" t="s">
        <v>466</v>
      </c>
      <c r="H164" s="1" t="s">
        <v>467</v>
      </c>
      <c r="I164" s="1">
        <v>0.0</v>
      </c>
      <c r="J164" s="1" t="s">
        <v>468</v>
      </c>
      <c r="K164" s="1">
        <v>46.0</v>
      </c>
      <c r="L164" s="13"/>
    </row>
    <row r="165">
      <c r="L165" s="13"/>
    </row>
    <row r="166">
      <c r="L166" s="13"/>
    </row>
    <row r="167">
      <c r="L167" s="13"/>
    </row>
    <row r="168">
      <c r="L168" s="13"/>
    </row>
    <row r="169">
      <c r="L169" s="13"/>
    </row>
    <row r="170">
      <c r="L170" s="13"/>
    </row>
    <row r="171">
      <c r="L171" s="13"/>
    </row>
    <row r="172">
      <c r="L172" s="13"/>
    </row>
    <row r="173">
      <c r="L173" s="13"/>
    </row>
    <row r="174">
      <c r="L174" s="13"/>
    </row>
    <row r="175">
      <c r="L175" s="13"/>
    </row>
    <row r="176">
      <c r="L176" s="13"/>
    </row>
    <row r="177">
      <c r="L177" s="13"/>
    </row>
    <row r="178">
      <c r="L178" s="13"/>
    </row>
    <row r="179">
      <c r="L179" s="13"/>
    </row>
    <row r="180">
      <c r="L180" s="13"/>
    </row>
    <row r="181">
      <c r="L181" s="13"/>
    </row>
    <row r="182">
      <c r="L182" s="13"/>
    </row>
    <row r="183">
      <c r="L183" s="13"/>
    </row>
    <row r="184">
      <c r="L184" s="13"/>
    </row>
    <row r="185">
      <c r="L185" s="13"/>
    </row>
    <row r="186">
      <c r="L186" s="13"/>
    </row>
    <row r="187">
      <c r="L187" s="13"/>
    </row>
    <row r="188">
      <c r="L188" s="13"/>
    </row>
    <row r="189">
      <c r="L189" s="13"/>
    </row>
    <row r="190">
      <c r="L190" s="13"/>
    </row>
    <row r="191">
      <c r="L191" s="13"/>
    </row>
    <row r="192">
      <c r="L192" s="13"/>
    </row>
    <row r="193">
      <c r="L193" s="13"/>
    </row>
    <row r="194">
      <c r="L194" s="13"/>
    </row>
    <row r="195">
      <c r="L195" s="13"/>
    </row>
    <row r="196">
      <c r="L196" s="13"/>
    </row>
    <row r="197">
      <c r="L197" s="13"/>
    </row>
    <row r="198">
      <c r="L198" s="13"/>
    </row>
    <row r="199">
      <c r="L199" s="13"/>
    </row>
    <row r="200">
      <c r="L200" s="13"/>
    </row>
    <row r="201">
      <c r="L201" s="13"/>
    </row>
    <row r="202">
      <c r="L202" s="13"/>
    </row>
    <row r="203">
      <c r="L203" s="13"/>
    </row>
    <row r="204">
      <c r="L204" s="13"/>
    </row>
    <row r="205">
      <c r="L205" s="13"/>
    </row>
    <row r="206">
      <c r="L206" s="13"/>
    </row>
    <row r="207">
      <c r="L207" s="13"/>
    </row>
    <row r="208">
      <c r="L208" s="13"/>
    </row>
    <row r="209">
      <c r="L209" s="13"/>
    </row>
    <row r="210">
      <c r="L210" s="13"/>
    </row>
    <row r="211">
      <c r="L211" s="13"/>
    </row>
    <row r="212">
      <c r="L212" s="13"/>
    </row>
    <row r="213">
      <c r="L213" s="13"/>
    </row>
    <row r="214">
      <c r="L214" s="13"/>
    </row>
    <row r="215">
      <c r="L215" s="13"/>
    </row>
    <row r="216">
      <c r="L216" s="13"/>
    </row>
    <row r="217">
      <c r="L217" s="13"/>
    </row>
    <row r="218">
      <c r="L218" s="13"/>
    </row>
    <row r="219">
      <c r="L219" s="13"/>
    </row>
    <row r="220">
      <c r="L220" s="13"/>
    </row>
    <row r="221">
      <c r="L221" s="13"/>
    </row>
    <row r="222">
      <c r="L222" s="13"/>
    </row>
    <row r="223">
      <c r="L223" s="13"/>
    </row>
    <row r="224">
      <c r="L224" s="13"/>
    </row>
    <row r="225">
      <c r="L225" s="13"/>
    </row>
    <row r="226">
      <c r="L226" s="13"/>
    </row>
    <row r="227">
      <c r="L227" s="13"/>
    </row>
    <row r="228">
      <c r="L228" s="13"/>
    </row>
    <row r="229">
      <c r="L229" s="13"/>
    </row>
    <row r="230">
      <c r="L230" s="13"/>
    </row>
    <row r="231">
      <c r="L231" s="13"/>
    </row>
    <row r="232">
      <c r="L232" s="13"/>
    </row>
    <row r="233">
      <c r="L233" s="13"/>
    </row>
    <row r="234">
      <c r="L234" s="13"/>
    </row>
    <row r="235">
      <c r="L235" s="13"/>
    </row>
    <row r="236">
      <c r="L236" s="13"/>
    </row>
    <row r="237">
      <c r="L237" s="13"/>
    </row>
    <row r="238">
      <c r="L238" s="13"/>
    </row>
    <row r="239">
      <c r="L239" s="13"/>
    </row>
    <row r="240">
      <c r="L240" s="13"/>
    </row>
    <row r="241">
      <c r="L241" s="13"/>
    </row>
    <row r="242">
      <c r="L242" s="13"/>
    </row>
    <row r="243">
      <c r="L243" s="13"/>
    </row>
    <row r="244">
      <c r="L244" s="13"/>
    </row>
    <row r="245">
      <c r="L245" s="13"/>
    </row>
    <row r="246">
      <c r="L246" s="13"/>
    </row>
    <row r="247">
      <c r="L247" s="13"/>
    </row>
    <row r="248">
      <c r="L248" s="13"/>
    </row>
    <row r="249">
      <c r="L249" s="13"/>
    </row>
    <row r="250">
      <c r="L250" s="13"/>
    </row>
    <row r="251">
      <c r="L251" s="13"/>
    </row>
    <row r="252">
      <c r="L252" s="13"/>
    </row>
    <row r="253">
      <c r="L253" s="13"/>
    </row>
    <row r="254">
      <c r="L254" s="13"/>
    </row>
    <row r="255">
      <c r="L255" s="13"/>
    </row>
    <row r="256">
      <c r="L256" s="13"/>
    </row>
    <row r="257">
      <c r="L257" s="13"/>
    </row>
    <row r="258">
      <c r="L258" s="13"/>
    </row>
    <row r="259">
      <c r="L259" s="13"/>
    </row>
    <row r="260">
      <c r="L260" s="13"/>
    </row>
    <row r="261">
      <c r="L261" s="13"/>
    </row>
    <row r="262">
      <c r="L262" s="13"/>
    </row>
    <row r="263">
      <c r="L263" s="13"/>
    </row>
    <row r="264">
      <c r="L264" s="13"/>
    </row>
    <row r="265">
      <c r="L265" s="13"/>
    </row>
    <row r="266">
      <c r="L266" s="13"/>
    </row>
    <row r="267">
      <c r="L267" s="13"/>
    </row>
    <row r="268">
      <c r="L268" s="13"/>
    </row>
    <row r="269">
      <c r="L269" s="13"/>
    </row>
    <row r="270">
      <c r="L270" s="13"/>
    </row>
    <row r="271">
      <c r="L271" s="13"/>
    </row>
    <row r="272">
      <c r="L272" s="13"/>
    </row>
    <row r="273">
      <c r="L273" s="13"/>
    </row>
    <row r="274">
      <c r="L274" s="13"/>
    </row>
    <row r="275">
      <c r="L275" s="13"/>
    </row>
    <row r="276">
      <c r="L276" s="13"/>
    </row>
    <row r="277">
      <c r="L277" s="13"/>
    </row>
    <row r="278">
      <c r="L278" s="13"/>
    </row>
    <row r="279">
      <c r="L279" s="13"/>
    </row>
    <row r="280">
      <c r="L280" s="13"/>
    </row>
    <row r="281">
      <c r="L281" s="13"/>
    </row>
    <row r="282">
      <c r="L282" s="13"/>
    </row>
    <row r="283">
      <c r="L283" s="13"/>
    </row>
    <row r="284">
      <c r="L284" s="13"/>
    </row>
    <row r="285">
      <c r="L285" s="13"/>
    </row>
    <row r="286">
      <c r="L286" s="13"/>
    </row>
    <row r="287">
      <c r="L287" s="13"/>
    </row>
    <row r="288">
      <c r="L288" s="13"/>
    </row>
    <row r="289">
      <c r="L289" s="13"/>
    </row>
    <row r="290">
      <c r="L290" s="13"/>
    </row>
    <row r="291">
      <c r="L291" s="13"/>
    </row>
    <row r="292">
      <c r="L292" s="13"/>
    </row>
    <row r="293">
      <c r="L293" s="13"/>
    </row>
    <row r="294">
      <c r="L294" s="13"/>
    </row>
    <row r="295">
      <c r="L295" s="13"/>
    </row>
    <row r="296">
      <c r="L296" s="13"/>
    </row>
    <row r="297">
      <c r="L297" s="13"/>
    </row>
    <row r="298">
      <c r="L298" s="13"/>
    </row>
    <row r="299">
      <c r="L299" s="13"/>
    </row>
    <row r="300">
      <c r="L300" s="13"/>
    </row>
    <row r="301">
      <c r="L301" s="13"/>
    </row>
    <row r="302">
      <c r="L302" s="13"/>
    </row>
    <row r="303">
      <c r="L303" s="13"/>
    </row>
    <row r="304">
      <c r="L304" s="13"/>
    </row>
    <row r="305">
      <c r="L305" s="13"/>
    </row>
    <row r="306">
      <c r="L306" s="13"/>
    </row>
    <row r="307">
      <c r="L307" s="13"/>
    </row>
    <row r="308">
      <c r="L308" s="13"/>
    </row>
    <row r="309">
      <c r="L309" s="13"/>
    </row>
    <row r="310">
      <c r="L310" s="13"/>
    </row>
    <row r="311">
      <c r="L311" s="13"/>
    </row>
    <row r="312">
      <c r="L312" s="13"/>
    </row>
    <row r="313">
      <c r="L313" s="13"/>
    </row>
    <row r="314">
      <c r="L314" s="13"/>
    </row>
    <row r="315">
      <c r="L315" s="13"/>
    </row>
    <row r="316">
      <c r="L316" s="13"/>
    </row>
    <row r="317">
      <c r="L317" s="13"/>
    </row>
    <row r="318">
      <c r="L318" s="13"/>
    </row>
    <row r="319">
      <c r="L319" s="13"/>
    </row>
    <row r="320">
      <c r="L320" s="13"/>
    </row>
    <row r="321">
      <c r="L321" s="13"/>
    </row>
    <row r="322">
      <c r="L322" s="13"/>
    </row>
    <row r="323">
      <c r="L323" s="13"/>
    </row>
    <row r="324">
      <c r="L324" s="13"/>
    </row>
    <row r="325">
      <c r="L325" s="13"/>
    </row>
    <row r="326">
      <c r="L326" s="13"/>
    </row>
    <row r="327">
      <c r="L327" s="13"/>
    </row>
    <row r="328">
      <c r="L328" s="13"/>
    </row>
    <row r="329">
      <c r="L329" s="13"/>
    </row>
    <row r="330">
      <c r="L330" s="13"/>
    </row>
    <row r="331">
      <c r="L331" s="13"/>
    </row>
    <row r="332">
      <c r="L332" s="13"/>
    </row>
    <row r="333">
      <c r="L333" s="13"/>
    </row>
    <row r="334">
      <c r="L334" s="13"/>
    </row>
    <row r="335">
      <c r="L335" s="13"/>
    </row>
    <row r="336">
      <c r="L336" s="13"/>
    </row>
    <row r="337">
      <c r="L337" s="13"/>
    </row>
    <row r="338">
      <c r="L338" s="13"/>
    </row>
    <row r="339">
      <c r="L339" s="13"/>
    </row>
    <row r="340">
      <c r="L340" s="13"/>
    </row>
    <row r="341">
      <c r="L341" s="13"/>
    </row>
    <row r="342">
      <c r="L342" s="13"/>
    </row>
    <row r="343">
      <c r="L343" s="13"/>
    </row>
    <row r="344">
      <c r="L344" s="13"/>
    </row>
    <row r="345">
      <c r="L345" s="13"/>
    </row>
    <row r="346">
      <c r="L346" s="13"/>
    </row>
    <row r="347">
      <c r="L347" s="13"/>
    </row>
    <row r="348">
      <c r="L348" s="13"/>
    </row>
    <row r="349">
      <c r="L349" s="13"/>
    </row>
    <row r="350">
      <c r="L350" s="13"/>
    </row>
    <row r="351">
      <c r="L351" s="13"/>
    </row>
    <row r="352">
      <c r="L352" s="13"/>
    </row>
    <row r="353">
      <c r="L353" s="13"/>
    </row>
    <row r="354">
      <c r="L354" s="13"/>
    </row>
    <row r="355">
      <c r="L355" s="13"/>
    </row>
    <row r="356">
      <c r="L356" s="13"/>
    </row>
    <row r="357">
      <c r="L357" s="13"/>
    </row>
    <row r="358">
      <c r="L358" s="13"/>
    </row>
    <row r="359">
      <c r="L359" s="13"/>
    </row>
    <row r="360">
      <c r="L360" s="13"/>
    </row>
    <row r="361">
      <c r="L361" s="13"/>
    </row>
    <row r="362">
      <c r="L362" s="13"/>
    </row>
    <row r="363">
      <c r="L363" s="13"/>
    </row>
    <row r="364">
      <c r="L364" s="13"/>
    </row>
    <row r="365">
      <c r="L365" s="13"/>
    </row>
    <row r="366">
      <c r="L366" s="13"/>
    </row>
    <row r="367">
      <c r="L367" s="13"/>
    </row>
    <row r="368">
      <c r="L368" s="13"/>
    </row>
    <row r="369">
      <c r="L369" s="13"/>
    </row>
    <row r="370">
      <c r="L370" s="13"/>
    </row>
    <row r="371">
      <c r="L371" s="13"/>
    </row>
    <row r="372">
      <c r="L372" s="13"/>
    </row>
    <row r="373">
      <c r="L373" s="13"/>
    </row>
    <row r="374">
      <c r="L374" s="13"/>
    </row>
    <row r="375">
      <c r="L375" s="13"/>
    </row>
    <row r="376">
      <c r="L376" s="13"/>
    </row>
    <row r="377">
      <c r="L377" s="13"/>
    </row>
    <row r="378">
      <c r="L378" s="13"/>
    </row>
    <row r="379">
      <c r="L379" s="13"/>
    </row>
    <row r="380">
      <c r="L380" s="13"/>
    </row>
    <row r="381">
      <c r="L381" s="13"/>
    </row>
    <row r="382">
      <c r="L382" s="13"/>
    </row>
    <row r="383">
      <c r="L383" s="13"/>
    </row>
    <row r="384">
      <c r="L384" s="13"/>
    </row>
    <row r="385">
      <c r="L385" s="13"/>
    </row>
    <row r="386">
      <c r="L386" s="13"/>
    </row>
    <row r="387">
      <c r="L387" s="13"/>
    </row>
    <row r="388">
      <c r="L388" s="13"/>
    </row>
    <row r="389">
      <c r="L389" s="13"/>
    </row>
    <row r="390">
      <c r="L390" s="13"/>
    </row>
    <row r="391">
      <c r="L391" s="13"/>
    </row>
    <row r="392">
      <c r="L392" s="13"/>
    </row>
    <row r="393">
      <c r="L393" s="13"/>
    </row>
    <row r="394">
      <c r="L394" s="13"/>
    </row>
    <row r="395">
      <c r="L395" s="13"/>
    </row>
    <row r="396">
      <c r="L396" s="13"/>
    </row>
    <row r="397">
      <c r="L397" s="13"/>
    </row>
    <row r="398">
      <c r="L398" s="13"/>
    </row>
    <row r="399">
      <c r="L399" s="13"/>
    </row>
    <row r="400">
      <c r="L400" s="13"/>
    </row>
    <row r="401">
      <c r="L401" s="13"/>
    </row>
    <row r="402">
      <c r="L402" s="13"/>
    </row>
    <row r="403">
      <c r="L403" s="13"/>
    </row>
    <row r="404">
      <c r="L404" s="13"/>
    </row>
    <row r="405">
      <c r="L405" s="13"/>
    </row>
    <row r="406">
      <c r="L406" s="13"/>
    </row>
    <row r="407">
      <c r="L407" s="13"/>
    </row>
    <row r="408">
      <c r="L408" s="13"/>
    </row>
    <row r="409">
      <c r="L409" s="13"/>
    </row>
    <row r="410">
      <c r="L410" s="13"/>
    </row>
    <row r="411">
      <c r="L411" s="13"/>
    </row>
    <row r="412">
      <c r="L412" s="13"/>
    </row>
    <row r="413">
      <c r="L413" s="13"/>
    </row>
    <row r="414">
      <c r="L414" s="13"/>
    </row>
    <row r="415">
      <c r="L415" s="13"/>
    </row>
    <row r="416">
      <c r="L416" s="13"/>
    </row>
    <row r="417">
      <c r="L417" s="13"/>
    </row>
    <row r="418">
      <c r="L418" s="13"/>
    </row>
    <row r="419">
      <c r="L419" s="13"/>
    </row>
    <row r="420">
      <c r="L420" s="13"/>
    </row>
    <row r="421">
      <c r="L421" s="13"/>
    </row>
    <row r="422">
      <c r="L422" s="13"/>
    </row>
    <row r="423">
      <c r="L423" s="13"/>
    </row>
    <row r="424">
      <c r="L424" s="13"/>
    </row>
    <row r="425">
      <c r="L425" s="13"/>
    </row>
    <row r="426">
      <c r="L426" s="13"/>
    </row>
    <row r="427">
      <c r="L427" s="13"/>
    </row>
    <row r="428">
      <c r="L428" s="13"/>
    </row>
    <row r="429">
      <c r="L429" s="13"/>
    </row>
    <row r="430">
      <c r="L430" s="13"/>
    </row>
    <row r="431">
      <c r="L431" s="13"/>
    </row>
    <row r="432">
      <c r="L432" s="13"/>
    </row>
    <row r="433">
      <c r="L433" s="13"/>
    </row>
    <row r="434">
      <c r="L434" s="13"/>
    </row>
    <row r="435">
      <c r="L435" s="13"/>
    </row>
    <row r="436">
      <c r="L436" s="13"/>
    </row>
    <row r="437">
      <c r="L437" s="13"/>
    </row>
    <row r="438">
      <c r="L438" s="13"/>
    </row>
    <row r="439">
      <c r="L439" s="13"/>
    </row>
    <row r="440">
      <c r="L440" s="13"/>
    </row>
    <row r="441">
      <c r="L441" s="13"/>
    </row>
    <row r="442">
      <c r="L442" s="13"/>
    </row>
    <row r="443">
      <c r="L443" s="13"/>
    </row>
    <row r="444">
      <c r="L444" s="13"/>
    </row>
    <row r="445">
      <c r="L445" s="13"/>
    </row>
    <row r="446">
      <c r="L446" s="13"/>
    </row>
    <row r="447">
      <c r="L447" s="13"/>
    </row>
    <row r="448">
      <c r="L448" s="13"/>
    </row>
    <row r="449">
      <c r="L449" s="13"/>
    </row>
    <row r="450">
      <c r="L450" s="13"/>
    </row>
    <row r="451">
      <c r="L451" s="13"/>
    </row>
    <row r="452">
      <c r="L452" s="13"/>
    </row>
    <row r="453">
      <c r="L453" s="13"/>
    </row>
    <row r="454">
      <c r="L454" s="13"/>
    </row>
    <row r="455">
      <c r="L455" s="13"/>
    </row>
    <row r="456">
      <c r="L456" s="13"/>
    </row>
    <row r="457">
      <c r="L457" s="13"/>
    </row>
    <row r="458">
      <c r="L458" s="13"/>
    </row>
    <row r="459">
      <c r="L459" s="13"/>
    </row>
    <row r="460">
      <c r="L460" s="13"/>
    </row>
    <row r="461">
      <c r="L461" s="13"/>
    </row>
    <row r="462">
      <c r="L462" s="13"/>
    </row>
    <row r="463">
      <c r="L463" s="13"/>
    </row>
    <row r="464">
      <c r="L464" s="13"/>
    </row>
    <row r="465">
      <c r="L465" s="13"/>
    </row>
    <row r="466">
      <c r="L466" s="13"/>
    </row>
    <row r="467">
      <c r="L467" s="13"/>
    </row>
    <row r="468">
      <c r="L468" s="13"/>
    </row>
    <row r="469">
      <c r="L469" s="13"/>
    </row>
    <row r="470">
      <c r="L470" s="13"/>
    </row>
    <row r="471">
      <c r="L471" s="13"/>
    </row>
    <row r="472">
      <c r="L472" s="13"/>
    </row>
    <row r="473">
      <c r="L473" s="13"/>
    </row>
    <row r="474">
      <c r="L474" s="13"/>
    </row>
    <row r="475">
      <c r="L475" s="13"/>
    </row>
    <row r="476">
      <c r="L476" s="13"/>
    </row>
    <row r="477">
      <c r="L477" s="13"/>
    </row>
    <row r="478">
      <c r="L478" s="13"/>
    </row>
    <row r="479">
      <c r="L479" s="13"/>
    </row>
    <row r="480">
      <c r="L480" s="13"/>
    </row>
    <row r="481">
      <c r="L481" s="13"/>
    </row>
    <row r="482">
      <c r="L482" s="13"/>
    </row>
    <row r="483">
      <c r="L483" s="13"/>
    </row>
    <row r="484">
      <c r="L484" s="13"/>
    </row>
    <row r="485">
      <c r="L485" s="13"/>
    </row>
    <row r="486">
      <c r="L486" s="13"/>
    </row>
    <row r="487">
      <c r="L487" s="13"/>
    </row>
    <row r="488">
      <c r="L488" s="13"/>
    </row>
    <row r="489">
      <c r="L489" s="13"/>
    </row>
    <row r="490">
      <c r="L490" s="13"/>
    </row>
    <row r="491">
      <c r="L491" s="13"/>
    </row>
    <row r="492">
      <c r="L492" s="13"/>
    </row>
    <row r="493">
      <c r="L493" s="13"/>
    </row>
    <row r="494">
      <c r="L494" s="13"/>
    </row>
    <row r="495">
      <c r="L495" s="13"/>
    </row>
    <row r="496">
      <c r="L496" s="13"/>
    </row>
    <row r="497">
      <c r="L497" s="13"/>
    </row>
    <row r="498">
      <c r="L498" s="13"/>
    </row>
    <row r="499">
      <c r="L499" s="13"/>
    </row>
    <row r="500">
      <c r="L500" s="13"/>
    </row>
    <row r="501">
      <c r="L501" s="13"/>
    </row>
    <row r="502">
      <c r="L502" s="13"/>
    </row>
    <row r="503">
      <c r="L503" s="13"/>
    </row>
    <row r="504">
      <c r="L504" s="13"/>
    </row>
    <row r="505">
      <c r="L505" s="13"/>
    </row>
    <row r="506">
      <c r="L506" s="13"/>
    </row>
    <row r="507">
      <c r="L507" s="13"/>
    </row>
    <row r="508">
      <c r="L508" s="13"/>
    </row>
    <row r="509">
      <c r="L509" s="13"/>
    </row>
    <row r="510">
      <c r="L510" s="13"/>
    </row>
    <row r="511">
      <c r="L511" s="13"/>
    </row>
    <row r="512">
      <c r="L512" s="13"/>
    </row>
    <row r="513">
      <c r="L513" s="13"/>
    </row>
    <row r="514">
      <c r="L514" s="13"/>
    </row>
    <row r="515">
      <c r="L515" s="13"/>
    </row>
    <row r="516">
      <c r="L516" s="13"/>
    </row>
    <row r="517">
      <c r="L517" s="13"/>
    </row>
    <row r="518">
      <c r="L518" s="13"/>
    </row>
    <row r="519">
      <c r="L519" s="13"/>
    </row>
    <row r="520">
      <c r="L520" s="13"/>
    </row>
    <row r="521">
      <c r="L521" s="13"/>
    </row>
    <row r="522">
      <c r="L522" s="13"/>
    </row>
    <row r="523">
      <c r="L523" s="13"/>
    </row>
    <row r="524">
      <c r="L524" s="13"/>
    </row>
    <row r="525">
      <c r="L525" s="13"/>
    </row>
    <row r="526">
      <c r="L526" s="13"/>
    </row>
    <row r="527">
      <c r="L527" s="13"/>
    </row>
    <row r="528">
      <c r="L528" s="13"/>
    </row>
    <row r="529">
      <c r="L529" s="13"/>
    </row>
    <row r="530">
      <c r="L530" s="13"/>
    </row>
    <row r="531">
      <c r="L531" s="13"/>
    </row>
    <row r="532">
      <c r="L532" s="13"/>
    </row>
    <row r="533">
      <c r="L533" s="13"/>
    </row>
    <row r="534">
      <c r="L534" s="13"/>
    </row>
    <row r="535">
      <c r="L535" s="13"/>
    </row>
    <row r="536">
      <c r="L536" s="13"/>
    </row>
    <row r="537">
      <c r="L537" s="13"/>
    </row>
    <row r="538">
      <c r="L538" s="13"/>
    </row>
    <row r="539">
      <c r="L539" s="13"/>
    </row>
    <row r="540">
      <c r="L540" s="13"/>
    </row>
    <row r="541">
      <c r="L541" s="13"/>
    </row>
    <row r="542">
      <c r="L542" s="13"/>
    </row>
    <row r="543">
      <c r="L543" s="13"/>
    </row>
    <row r="544">
      <c r="L544" s="13"/>
    </row>
    <row r="545">
      <c r="L545" s="13"/>
    </row>
    <row r="546">
      <c r="L546" s="13"/>
    </row>
    <row r="547">
      <c r="L547" s="13"/>
    </row>
    <row r="548">
      <c r="L548" s="13"/>
    </row>
    <row r="549">
      <c r="L549" s="13"/>
    </row>
    <row r="550">
      <c r="L550" s="13"/>
    </row>
    <row r="551">
      <c r="L551" s="13"/>
    </row>
    <row r="552">
      <c r="L552" s="13"/>
    </row>
    <row r="553">
      <c r="L553" s="13"/>
    </row>
    <row r="554">
      <c r="L554" s="13"/>
    </row>
    <row r="555">
      <c r="L555" s="13"/>
    </row>
    <row r="556">
      <c r="L556" s="13"/>
    </row>
    <row r="557">
      <c r="L557" s="13"/>
    </row>
    <row r="558">
      <c r="L558" s="13"/>
    </row>
    <row r="559">
      <c r="L559" s="13"/>
    </row>
    <row r="560">
      <c r="L560" s="13"/>
    </row>
    <row r="561">
      <c r="L561" s="13"/>
    </row>
    <row r="562">
      <c r="L562" s="13"/>
    </row>
    <row r="563">
      <c r="L563" s="13"/>
    </row>
    <row r="564">
      <c r="L564" s="13"/>
    </row>
    <row r="565">
      <c r="L565" s="13"/>
    </row>
    <row r="566">
      <c r="L566" s="13"/>
    </row>
    <row r="567">
      <c r="L567" s="13"/>
    </row>
    <row r="568">
      <c r="L568" s="13"/>
    </row>
    <row r="569">
      <c r="L569" s="13"/>
    </row>
    <row r="570">
      <c r="L570" s="13"/>
    </row>
    <row r="571">
      <c r="L571" s="13"/>
    </row>
    <row r="572">
      <c r="L572" s="13"/>
    </row>
    <row r="573">
      <c r="L573" s="13"/>
    </row>
    <row r="574">
      <c r="L574" s="13"/>
    </row>
    <row r="575">
      <c r="L575" s="13"/>
    </row>
    <row r="576">
      <c r="L576" s="13"/>
    </row>
    <row r="577">
      <c r="L577" s="13"/>
    </row>
    <row r="578">
      <c r="L578" s="13"/>
    </row>
    <row r="579">
      <c r="L579" s="13"/>
    </row>
    <row r="580">
      <c r="L580" s="13"/>
    </row>
    <row r="581">
      <c r="L581" s="13"/>
    </row>
    <row r="582">
      <c r="L582" s="13"/>
    </row>
    <row r="583">
      <c r="L583" s="13"/>
    </row>
    <row r="584">
      <c r="L584" s="13"/>
    </row>
    <row r="585">
      <c r="L585" s="13"/>
    </row>
    <row r="586">
      <c r="L586" s="13"/>
    </row>
    <row r="587">
      <c r="L587" s="13"/>
    </row>
    <row r="588">
      <c r="L588" s="13"/>
    </row>
    <row r="589">
      <c r="L589" s="13"/>
    </row>
    <row r="590">
      <c r="L590" s="13"/>
    </row>
    <row r="591">
      <c r="L591" s="13"/>
    </row>
    <row r="592">
      <c r="L592" s="13"/>
    </row>
    <row r="593">
      <c r="L593" s="13"/>
    </row>
    <row r="594">
      <c r="L594" s="13"/>
    </row>
    <row r="595">
      <c r="L595" s="13"/>
    </row>
    <row r="596">
      <c r="L596" s="13"/>
    </row>
    <row r="597">
      <c r="L597" s="13"/>
    </row>
    <row r="598">
      <c r="L598" s="13"/>
    </row>
    <row r="599">
      <c r="L599" s="13"/>
    </row>
    <row r="600">
      <c r="L600" s="13"/>
    </row>
    <row r="601">
      <c r="L601" s="13"/>
    </row>
    <row r="602">
      <c r="L602" s="13"/>
    </row>
    <row r="603">
      <c r="L603" s="13"/>
    </row>
    <row r="604">
      <c r="L604" s="13"/>
    </row>
    <row r="605">
      <c r="L605" s="13"/>
    </row>
    <row r="606">
      <c r="L606" s="13"/>
    </row>
    <row r="607">
      <c r="L607" s="13"/>
    </row>
    <row r="608">
      <c r="L608" s="13"/>
    </row>
    <row r="609">
      <c r="L609" s="13"/>
    </row>
    <row r="610">
      <c r="L610" s="13"/>
    </row>
    <row r="611">
      <c r="L611" s="13"/>
    </row>
    <row r="612">
      <c r="L612" s="13"/>
    </row>
    <row r="613">
      <c r="L613" s="13"/>
    </row>
    <row r="614">
      <c r="L614" s="13"/>
    </row>
    <row r="615">
      <c r="L615" s="13"/>
    </row>
    <row r="616">
      <c r="L616" s="13"/>
    </row>
    <row r="617">
      <c r="L617" s="13"/>
    </row>
    <row r="618">
      <c r="L618" s="13"/>
    </row>
    <row r="619">
      <c r="L619" s="13"/>
    </row>
    <row r="620">
      <c r="L620" s="13"/>
    </row>
    <row r="621">
      <c r="L621" s="13"/>
    </row>
    <row r="622">
      <c r="L622" s="13"/>
    </row>
    <row r="623">
      <c r="L623" s="13"/>
    </row>
    <row r="624">
      <c r="L624" s="13"/>
    </row>
    <row r="625">
      <c r="L625" s="13"/>
    </row>
    <row r="626">
      <c r="L626" s="13"/>
    </row>
    <row r="627">
      <c r="L627" s="13"/>
    </row>
    <row r="628">
      <c r="L628" s="13"/>
    </row>
    <row r="629">
      <c r="L629" s="13"/>
    </row>
    <row r="630">
      <c r="L630" s="13"/>
    </row>
    <row r="631">
      <c r="L631" s="13"/>
    </row>
    <row r="632">
      <c r="L632" s="13"/>
    </row>
    <row r="633">
      <c r="L633" s="13"/>
    </row>
    <row r="634">
      <c r="L634" s="13"/>
    </row>
    <row r="635">
      <c r="L635" s="13"/>
    </row>
    <row r="636">
      <c r="L636" s="13"/>
    </row>
    <row r="637">
      <c r="L637" s="13"/>
    </row>
    <row r="638">
      <c r="L638" s="13"/>
    </row>
    <row r="639">
      <c r="L639" s="13"/>
    </row>
    <row r="640">
      <c r="L640" s="13"/>
    </row>
    <row r="641">
      <c r="L641" s="13"/>
    </row>
    <row r="642">
      <c r="L642" s="13"/>
    </row>
    <row r="643">
      <c r="L643" s="13"/>
    </row>
    <row r="644">
      <c r="L644" s="13"/>
    </row>
    <row r="645">
      <c r="L645" s="13"/>
    </row>
    <row r="646">
      <c r="L646" s="13"/>
    </row>
    <row r="647">
      <c r="L647" s="13"/>
    </row>
    <row r="648">
      <c r="L648" s="13"/>
    </row>
    <row r="649">
      <c r="L649" s="13"/>
    </row>
    <row r="650">
      <c r="L650" s="13"/>
    </row>
    <row r="651">
      <c r="L651" s="13"/>
    </row>
    <row r="652">
      <c r="L652" s="13"/>
    </row>
    <row r="653">
      <c r="L653" s="13"/>
    </row>
    <row r="654">
      <c r="L654" s="13"/>
    </row>
    <row r="655">
      <c r="L655" s="13"/>
    </row>
    <row r="656">
      <c r="L656" s="13"/>
    </row>
    <row r="657">
      <c r="L657" s="13"/>
    </row>
    <row r="658">
      <c r="L658" s="13"/>
    </row>
    <row r="659">
      <c r="L659" s="13"/>
    </row>
    <row r="660">
      <c r="L660" s="13"/>
    </row>
    <row r="661">
      <c r="L661" s="13"/>
    </row>
    <row r="662">
      <c r="L662" s="13"/>
    </row>
    <row r="663">
      <c r="L663" s="13"/>
    </row>
    <row r="664">
      <c r="L664" s="13"/>
    </row>
    <row r="665">
      <c r="L665" s="13"/>
    </row>
    <row r="666">
      <c r="L666" s="13"/>
    </row>
    <row r="667">
      <c r="L667" s="13"/>
    </row>
    <row r="668">
      <c r="L668" s="13"/>
    </row>
    <row r="669">
      <c r="L669" s="13"/>
    </row>
    <row r="670">
      <c r="L670" s="13"/>
    </row>
    <row r="671">
      <c r="L671" s="13"/>
    </row>
    <row r="672">
      <c r="L672" s="13"/>
    </row>
    <row r="673">
      <c r="L673" s="13"/>
    </row>
    <row r="674">
      <c r="L674" s="13"/>
    </row>
    <row r="675">
      <c r="L675" s="13"/>
    </row>
    <row r="676">
      <c r="L676" s="13"/>
    </row>
    <row r="677">
      <c r="L677" s="13"/>
    </row>
    <row r="678">
      <c r="L678" s="13"/>
    </row>
    <row r="679">
      <c r="L679" s="13"/>
    </row>
    <row r="680">
      <c r="L680" s="13"/>
    </row>
    <row r="681">
      <c r="L681" s="13"/>
    </row>
    <row r="682">
      <c r="L682" s="13"/>
    </row>
    <row r="683">
      <c r="L683" s="13"/>
    </row>
    <row r="684">
      <c r="L684" s="13"/>
    </row>
    <row r="685">
      <c r="L685" s="13"/>
    </row>
    <row r="686">
      <c r="L686" s="13"/>
    </row>
    <row r="687">
      <c r="L687" s="13"/>
    </row>
    <row r="688">
      <c r="L688" s="13"/>
    </row>
    <row r="689">
      <c r="L689" s="13"/>
    </row>
    <row r="690">
      <c r="L690" s="13"/>
    </row>
    <row r="691">
      <c r="L691" s="13"/>
    </row>
    <row r="692">
      <c r="L692" s="13"/>
    </row>
    <row r="693">
      <c r="L693" s="13"/>
    </row>
    <row r="694">
      <c r="L694" s="13"/>
    </row>
    <row r="695">
      <c r="L695" s="13"/>
    </row>
    <row r="696">
      <c r="L696" s="13"/>
    </row>
    <row r="697">
      <c r="L697" s="13"/>
    </row>
    <row r="698">
      <c r="L698" s="13"/>
    </row>
    <row r="699">
      <c r="L699" s="13"/>
    </row>
    <row r="700">
      <c r="L700" s="13"/>
    </row>
    <row r="701">
      <c r="L701" s="13"/>
    </row>
    <row r="702">
      <c r="L702" s="13"/>
    </row>
    <row r="703">
      <c r="L703" s="13"/>
    </row>
    <row r="704">
      <c r="L704" s="13"/>
    </row>
    <row r="705">
      <c r="L705" s="13"/>
    </row>
    <row r="706">
      <c r="L706" s="13"/>
    </row>
    <row r="707">
      <c r="L707" s="13"/>
    </row>
    <row r="708">
      <c r="L708" s="13"/>
    </row>
    <row r="709">
      <c r="L709" s="13"/>
    </row>
    <row r="710">
      <c r="L710" s="13"/>
    </row>
    <row r="711">
      <c r="L711" s="13"/>
    </row>
    <row r="712">
      <c r="L712" s="13"/>
    </row>
    <row r="713">
      <c r="L713" s="13"/>
    </row>
    <row r="714">
      <c r="L714" s="13"/>
    </row>
    <row r="715">
      <c r="L715" s="13"/>
    </row>
    <row r="716">
      <c r="L716" s="13"/>
    </row>
    <row r="717">
      <c r="L717" s="13"/>
    </row>
    <row r="718">
      <c r="L718" s="13"/>
    </row>
    <row r="719">
      <c r="L719" s="13"/>
    </row>
    <row r="720">
      <c r="L720" s="13"/>
    </row>
    <row r="721">
      <c r="L721" s="13"/>
    </row>
    <row r="722">
      <c r="L722" s="13"/>
    </row>
    <row r="723">
      <c r="L723" s="13"/>
    </row>
    <row r="724">
      <c r="L724" s="13"/>
    </row>
    <row r="725">
      <c r="L725" s="13"/>
    </row>
    <row r="726">
      <c r="L726" s="13"/>
    </row>
    <row r="727">
      <c r="L727" s="13"/>
    </row>
    <row r="728">
      <c r="L728" s="13"/>
    </row>
    <row r="729">
      <c r="L729" s="13"/>
    </row>
    <row r="730">
      <c r="L730" s="13"/>
    </row>
    <row r="731">
      <c r="L731" s="13"/>
    </row>
    <row r="732">
      <c r="L732" s="13"/>
    </row>
    <row r="733">
      <c r="L733" s="13"/>
    </row>
    <row r="734">
      <c r="L734" s="13"/>
    </row>
    <row r="735">
      <c r="L735" s="13"/>
    </row>
    <row r="736">
      <c r="L736" s="13"/>
    </row>
    <row r="737">
      <c r="L737" s="13"/>
    </row>
    <row r="738">
      <c r="L738" s="13"/>
    </row>
    <row r="739">
      <c r="L739" s="13"/>
    </row>
    <row r="740">
      <c r="L740" s="13"/>
    </row>
    <row r="741">
      <c r="L741" s="13"/>
    </row>
    <row r="742">
      <c r="L742" s="13"/>
    </row>
    <row r="743">
      <c r="L743" s="13"/>
    </row>
    <row r="744">
      <c r="L744" s="13"/>
    </row>
    <row r="745">
      <c r="L745" s="13"/>
    </row>
    <row r="746">
      <c r="L746" s="13"/>
    </row>
    <row r="747">
      <c r="L747" s="13"/>
    </row>
    <row r="748">
      <c r="L748" s="13"/>
    </row>
    <row r="749">
      <c r="L749" s="13"/>
    </row>
    <row r="750">
      <c r="L750" s="13"/>
    </row>
    <row r="751">
      <c r="L751" s="13"/>
    </row>
    <row r="752">
      <c r="L752" s="13"/>
    </row>
    <row r="753">
      <c r="L753" s="13"/>
    </row>
    <row r="754">
      <c r="L754" s="13"/>
    </row>
    <row r="755">
      <c r="L755" s="13"/>
    </row>
    <row r="756">
      <c r="L756" s="13"/>
    </row>
    <row r="757">
      <c r="L757" s="13"/>
    </row>
    <row r="758">
      <c r="L758" s="13"/>
    </row>
    <row r="759">
      <c r="L759" s="13"/>
    </row>
    <row r="760">
      <c r="L760" s="13"/>
    </row>
    <row r="761">
      <c r="L761" s="13"/>
    </row>
    <row r="762">
      <c r="L762" s="13"/>
    </row>
    <row r="763">
      <c r="L763" s="13"/>
    </row>
    <row r="764">
      <c r="L764" s="13"/>
    </row>
    <row r="765">
      <c r="L765" s="13"/>
    </row>
    <row r="766">
      <c r="L766" s="13"/>
    </row>
    <row r="767">
      <c r="L767" s="13"/>
    </row>
    <row r="768">
      <c r="L768" s="13"/>
    </row>
    <row r="769">
      <c r="L769" s="13"/>
    </row>
    <row r="770">
      <c r="L770" s="13"/>
    </row>
    <row r="771">
      <c r="L771" s="13"/>
    </row>
    <row r="772">
      <c r="L772" s="13"/>
    </row>
    <row r="773">
      <c r="L773" s="13"/>
    </row>
    <row r="774">
      <c r="L774" s="13"/>
    </row>
    <row r="775">
      <c r="L775" s="13"/>
    </row>
    <row r="776">
      <c r="L776" s="13"/>
    </row>
    <row r="777">
      <c r="L777" s="13"/>
    </row>
    <row r="778">
      <c r="L778" s="13"/>
    </row>
    <row r="779">
      <c r="L779" s="13"/>
    </row>
    <row r="780">
      <c r="L780" s="13"/>
    </row>
    <row r="781">
      <c r="L781" s="13"/>
    </row>
    <row r="782">
      <c r="L782" s="13"/>
    </row>
    <row r="783">
      <c r="L783" s="13"/>
    </row>
    <row r="784">
      <c r="L784" s="13"/>
    </row>
    <row r="785">
      <c r="L785" s="13"/>
    </row>
    <row r="786">
      <c r="L786" s="13"/>
    </row>
    <row r="787">
      <c r="L787" s="13"/>
    </row>
    <row r="788">
      <c r="L788" s="13"/>
    </row>
    <row r="789">
      <c r="L789" s="13"/>
    </row>
    <row r="790">
      <c r="L790" s="13"/>
    </row>
    <row r="791">
      <c r="L791" s="13"/>
    </row>
    <row r="792">
      <c r="L792" s="13"/>
    </row>
    <row r="793">
      <c r="L793" s="13"/>
    </row>
    <row r="794">
      <c r="L794" s="13"/>
    </row>
    <row r="795">
      <c r="L795" s="13"/>
    </row>
    <row r="796">
      <c r="L796" s="13"/>
    </row>
    <row r="797">
      <c r="L797" s="13"/>
    </row>
    <row r="798">
      <c r="L798" s="13"/>
    </row>
    <row r="799">
      <c r="L799" s="13"/>
    </row>
    <row r="800">
      <c r="L800" s="13"/>
    </row>
    <row r="801">
      <c r="L801" s="13"/>
    </row>
    <row r="802">
      <c r="L802" s="13"/>
    </row>
    <row r="803">
      <c r="L803" s="13"/>
    </row>
    <row r="804">
      <c r="L804" s="13"/>
    </row>
    <row r="805">
      <c r="L805" s="13"/>
    </row>
    <row r="806">
      <c r="L806" s="13"/>
    </row>
    <row r="807">
      <c r="L807" s="13"/>
    </row>
    <row r="808">
      <c r="L808" s="13"/>
    </row>
    <row r="809">
      <c r="L809" s="13"/>
    </row>
    <row r="810">
      <c r="L810" s="13"/>
    </row>
    <row r="811">
      <c r="L811" s="13"/>
    </row>
    <row r="812">
      <c r="L812" s="13"/>
    </row>
    <row r="813">
      <c r="L813" s="13"/>
    </row>
    <row r="814">
      <c r="L814" s="13"/>
    </row>
    <row r="815">
      <c r="L815" s="13"/>
    </row>
    <row r="816">
      <c r="L816" s="13"/>
    </row>
    <row r="817">
      <c r="L817" s="13"/>
    </row>
    <row r="818">
      <c r="L818" s="13"/>
    </row>
    <row r="819">
      <c r="L819" s="13"/>
    </row>
    <row r="820">
      <c r="L820" s="13"/>
    </row>
    <row r="821">
      <c r="L821" s="13"/>
    </row>
    <row r="822">
      <c r="L822" s="13"/>
    </row>
    <row r="823">
      <c r="L823" s="13"/>
    </row>
    <row r="824">
      <c r="L824" s="13"/>
    </row>
    <row r="825">
      <c r="L825" s="13"/>
    </row>
    <row r="826">
      <c r="L826" s="13"/>
    </row>
    <row r="827">
      <c r="L827" s="13"/>
    </row>
    <row r="828">
      <c r="L828" s="13"/>
    </row>
    <row r="829">
      <c r="L829" s="13"/>
    </row>
    <row r="830">
      <c r="L830" s="13"/>
    </row>
    <row r="831">
      <c r="L831" s="13"/>
    </row>
    <row r="832">
      <c r="L832" s="13"/>
    </row>
    <row r="833">
      <c r="L833" s="13"/>
    </row>
    <row r="834">
      <c r="L834" s="13"/>
    </row>
    <row r="835">
      <c r="L835" s="13"/>
    </row>
    <row r="836">
      <c r="L836" s="13"/>
    </row>
    <row r="837">
      <c r="L837" s="13"/>
    </row>
    <row r="838">
      <c r="L838" s="13"/>
    </row>
    <row r="839">
      <c r="L839" s="13"/>
    </row>
    <row r="840">
      <c r="L840" s="13"/>
    </row>
    <row r="841">
      <c r="L841" s="13"/>
    </row>
    <row r="842">
      <c r="L842" s="13"/>
    </row>
    <row r="843">
      <c r="L843" s="13"/>
    </row>
    <row r="844">
      <c r="L844" s="13"/>
    </row>
    <row r="845">
      <c r="L845" s="13"/>
    </row>
    <row r="846">
      <c r="L846" s="13"/>
    </row>
    <row r="847">
      <c r="L847" s="13"/>
    </row>
    <row r="848">
      <c r="L848" s="13"/>
    </row>
    <row r="849">
      <c r="L849" s="13"/>
    </row>
    <row r="850">
      <c r="L850" s="13"/>
    </row>
    <row r="851">
      <c r="L851" s="13"/>
    </row>
    <row r="852">
      <c r="L852" s="13"/>
    </row>
    <row r="853">
      <c r="L853" s="13"/>
    </row>
    <row r="854">
      <c r="L854" s="13"/>
    </row>
    <row r="855">
      <c r="L855" s="13"/>
    </row>
    <row r="856">
      <c r="L856" s="13"/>
    </row>
    <row r="857">
      <c r="L857" s="13"/>
    </row>
    <row r="858">
      <c r="L858" s="13"/>
    </row>
    <row r="859">
      <c r="L859" s="13"/>
    </row>
    <row r="860">
      <c r="L860" s="13"/>
    </row>
    <row r="861">
      <c r="L861" s="13"/>
    </row>
    <row r="862">
      <c r="L862" s="13"/>
    </row>
    <row r="863">
      <c r="L863" s="13"/>
    </row>
    <row r="864">
      <c r="L864" s="13"/>
    </row>
    <row r="865">
      <c r="L865" s="13"/>
    </row>
    <row r="866">
      <c r="L866" s="13"/>
    </row>
    <row r="867">
      <c r="L867" s="13"/>
    </row>
    <row r="868">
      <c r="L868" s="13"/>
    </row>
    <row r="869">
      <c r="L869" s="13"/>
    </row>
    <row r="870">
      <c r="L870" s="13"/>
    </row>
    <row r="871">
      <c r="L871" s="13"/>
    </row>
    <row r="872">
      <c r="L872" s="13"/>
    </row>
    <row r="873">
      <c r="L873" s="13"/>
    </row>
    <row r="874">
      <c r="L874" s="13"/>
    </row>
    <row r="875">
      <c r="L875" s="13"/>
    </row>
    <row r="876">
      <c r="L876" s="13"/>
    </row>
    <row r="877">
      <c r="L877" s="13"/>
    </row>
    <row r="878">
      <c r="L878" s="13"/>
    </row>
    <row r="879">
      <c r="L879" s="13"/>
    </row>
    <row r="880">
      <c r="L880" s="13"/>
    </row>
    <row r="881">
      <c r="L881" s="13"/>
    </row>
    <row r="882">
      <c r="L882" s="13"/>
    </row>
    <row r="883">
      <c r="L883" s="13"/>
    </row>
    <row r="884">
      <c r="L884" s="13"/>
    </row>
    <row r="885">
      <c r="L885" s="13"/>
    </row>
    <row r="886">
      <c r="L886" s="13"/>
    </row>
    <row r="887">
      <c r="L887" s="13"/>
    </row>
    <row r="888">
      <c r="L888" s="13"/>
    </row>
    <row r="889">
      <c r="L889" s="13"/>
    </row>
    <row r="890">
      <c r="L890" s="13"/>
    </row>
    <row r="891">
      <c r="L891" s="13"/>
    </row>
    <row r="892">
      <c r="L892" s="13"/>
    </row>
    <row r="893">
      <c r="L893" s="13"/>
    </row>
    <row r="894">
      <c r="L894" s="13"/>
    </row>
    <row r="895">
      <c r="L895" s="13"/>
    </row>
    <row r="896">
      <c r="L896" s="13"/>
    </row>
    <row r="897">
      <c r="L897" s="13"/>
    </row>
    <row r="898">
      <c r="L898" s="13"/>
    </row>
    <row r="899">
      <c r="L899" s="13"/>
    </row>
    <row r="900">
      <c r="L900" s="13"/>
    </row>
    <row r="901">
      <c r="L901" s="13"/>
    </row>
    <row r="902">
      <c r="L902" s="13"/>
    </row>
    <row r="903">
      <c r="L903" s="13"/>
    </row>
    <row r="904">
      <c r="L904" s="13"/>
    </row>
    <row r="905">
      <c r="L905" s="13"/>
    </row>
    <row r="906">
      <c r="L906" s="13"/>
    </row>
    <row r="907">
      <c r="L907" s="13"/>
    </row>
    <row r="908">
      <c r="L908" s="13"/>
    </row>
    <row r="909">
      <c r="L909" s="13"/>
    </row>
    <row r="910">
      <c r="L910" s="13"/>
    </row>
    <row r="911">
      <c r="L911" s="13"/>
    </row>
    <row r="912">
      <c r="L912" s="13"/>
    </row>
    <row r="913">
      <c r="L913" s="13"/>
    </row>
    <row r="914">
      <c r="L914" s="13"/>
    </row>
    <row r="915">
      <c r="L915" s="13"/>
    </row>
    <row r="916">
      <c r="L916" s="13"/>
    </row>
    <row r="917">
      <c r="L917" s="13"/>
    </row>
    <row r="918">
      <c r="L918" s="13"/>
    </row>
    <row r="919">
      <c r="L919" s="13"/>
    </row>
    <row r="920">
      <c r="L920" s="13"/>
    </row>
    <row r="921">
      <c r="L921" s="13"/>
    </row>
    <row r="922">
      <c r="L922" s="13"/>
    </row>
    <row r="923">
      <c r="L923" s="13"/>
    </row>
    <row r="924">
      <c r="L924" s="13"/>
    </row>
    <row r="925">
      <c r="L925" s="13"/>
    </row>
    <row r="926">
      <c r="L926" s="13"/>
    </row>
    <row r="927">
      <c r="L927" s="13"/>
    </row>
    <row r="928">
      <c r="L928" s="13"/>
    </row>
    <row r="929">
      <c r="L929" s="13"/>
    </row>
    <row r="930">
      <c r="L930" s="13"/>
    </row>
    <row r="931">
      <c r="L931" s="13"/>
    </row>
    <row r="932">
      <c r="L932" s="13"/>
    </row>
    <row r="933">
      <c r="L933" s="13"/>
    </row>
    <row r="934">
      <c r="L934" s="13"/>
    </row>
    <row r="935">
      <c r="L935" s="13"/>
    </row>
    <row r="936">
      <c r="L936" s="13"/>
    </row>
    <row r="937">
      <c r="L937" s="13"/>
    </row>
    <row r="938">
      <c r="L938" s="13"/>
    </row>
    <row r="939">
      <c r="L939" s="13"/>
    </row>
    <row r="940">
      <c r="L940" s="13"/>
    </row>
    <row r="941">
      <c r="L941" s="13"/>
    </row>
    <row r="942">
      <c r="L942" s="13"/>
    </row>
    <row r="943">
      <c r="L943" s="13"/>
    </row>
    <row r="944">
      <c r="L944" s="13"/>
    </row>
    <row r="945">
      <c r="L945" s="13"/>
    </row>
    <row r="946">
      <c r="L946" s="13"/>
    </row>
    <row r="947">
      <c r="L947" s="13"/>
    </row>
    <row r="948">
      <c r="L948" s="13"/>
    </row>
    <row r="949">
      <c r="L949" s="13"/>
    </row>
    <row r="950">
      <c r="L950" s="13"/>
    </row>
    <row r="951">
      <c r="L951" s="13"/>
    </row>
    <row r="952">
      <c r="L952" s="13"/>
    </row>
    <row r="953">
      <c r="L953" s="13"/>
    </row>
    <row r="954">
      <c r="L954" s="13"/>
    </row>
    <row r="955">
      <c r="L955" s="13"/>
    </row>
    <row r="956">
      <c r="L956" s="13"/>
    </row>
    <row r="957">
      <c r="L957" s="13"/>
    </row>
    <row r="958">
      <c r="L958" s="13"/>
    </row>
    <row r="959">
      <c r="L959" s="13"/>
    </row>
    <row r="960">
      <c r="L960" s="13"/>
    </row>
    <row r="961">
      <c r="L961" s="13"/>
    </row>
    <row r="962">
      <c r="L962" s="13"/>
    </row>
    <row r="963">
      <c r="L963" s="13"/>
    </row>
    <row r="964">
      <c r="L964" s="13"/>
    </row>
    <row r="965">
      <c r="L965" s="13"/>
    </row>
    <row r="966">
      <c r="L966" s="13"/>
    </row>
    <row r="967">
      <c r="L967" s="13"/>
    </row>
    <row r="968">
      <c r="L968" s="13"/>
    </row>
    <row r="969">
      <c r="L969" s="13"/>
    </row>
    <row r="970">
      <c r="L970" s="13"/>
    </row>
    <row r="971">
      <c r="L971" s="13"/>
    </row>
    <row r="972">
      <c r="L972" s="13"/>
    </row>
    <row r="973">
      <c r="L973" s="13"/>
    </row>
    <row r="974">
      <c r="L974" s="13"/>
    </row>
    <row r="975">
      <c r="L975" s="13"/>
    </row>
    <row r="976">
      <c r="L976" s="13"/>
    </row>
    <row r="977">
      <c r="L977" s="13"/>
    </row>
    <row r="978">
      <c r="L978" s="13"/>
    </row>
    <row r="979">
      <c r="L979" s="13"/>
    </row>
    <row r="980">
      <c r="L980" s="13"/>
    </row>
    <row r="981">
      <c r="L981" s="13"/>
    </row>
    <row r="982">
      <c r="L982" s="13"/>
    </row>
    <row r="983">
      <c r="L983" s="13"/>
    </row>
    <row r="984">
      <c r="L984" s="13"/>
    </row>
    <row r="985">
      <c r="L985" s="13"/>
    </row>
    <row r="986">
      <c r="L986" s="13"/>
    </row>
    <row r="987">
      <c r="L987" s="13"/>
    </row>
    <row r="988">
      <c r="L988" s="13"/>
    </row>
    <row r="989">
      <c r="L989" s="13"/>
    </row>
    <row r="990">
      <c r="L990" s="13"/>
    </row>
    <row r="991">
      <c r="L991" s="13"/>
    </row>
    <row r="992">
      <c r="L992" s="13"/>
    </row>
    <row r="993">
      <c r="L993" s="13"/>
    </row>
    <row r="994">
      <c r="L994" s="13"/>
    </row>
    <row r="995">
      <c r="L995" s="13"/>
    </row>
    <row r="996">
      <c r="L996" s="13"/>
    </row>
    <row r="997">
      <c r="L997" s="13"/>
    </row>
    <row r="998">
      <c r="L998" s="13"/>
    </row>
    <row r="999">
      <c r="L999" s="13"/>
    </row>
    <row r="1000">
      <c r="L1000" s="13"/>
    </row>
  </sheetData>
  <hyperlinks>
    <hyperlink r:id="rId1" ref="I40"/>
    <hyperlink r:id="rId2" ref="S87"/>
    <hyperlink r:id="rId3" ref="R94"/>
  </hyperlinks>
  <drawing r:id="rId4"/>
</worksheet>
</file>